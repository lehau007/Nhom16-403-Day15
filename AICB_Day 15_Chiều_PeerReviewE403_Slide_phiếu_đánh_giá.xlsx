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silaptop\Desktop\VinUni\lab15\"/>
    </mc:Choice>
  </mc:AlternateContent>
  <xr:revisionPtr revIDLastSave="0" documentId="13_ncr:1_{47AD0148-971B-4810-907C-57C585AB527F}" xr6:coauthVersionLast="47" xr6:coauthVersionMax="47" xr10:uidLastSave="{00000000-0000-0000-0000-000000000000}"/>
  <bookViews>
    <workbookView xWindow="-108" yWindow="-108" windowWidth="23256" windowHeight="12456" tabRatio="500" xr2:uid="{00000000-000D-0000-FFFF-FFFF00000000}"/>
  </bookViews>
  <sheets>
    <sheet name="Form Responses 1" sheetId="1" r:id="rId1"/>
    <sheet name="Ketqua" sheetId="2" r:id="rId2"/>
  </sheets>
  <definedNames>
    <definedName name="_xlnm._FilterDatabase" localSheetId="1" hidden="1">Ketqua!$A$1:$Z$37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F41" i="2" l="1"/>
  <c r="G41" i="2" s="1"/>
  <c r="E41" i="2"/>
  <c r="D41" i="2"/>
  <c r="C41" i="2"/>
  <c r="B41" i="2" a="1"/>
  <c r="B41" i="2" s="1"/>
  <c r="G40" i="2"/>
  <c r="F40" i="2"/>
  <c r="E40" i="2"/>
  <c r="D40" i="2"/>
  <c r="C40" i="2"/>
  <c r="B40" i="2" a="1"/>
  <c r="B40" i="2" s="1"/>
  <c r="F39" i="2"/>
  <c r="G39" i="2" s="1"/>
  <c r="E39" i="2"/>
  <c r="D39" i="2"/>
  <c r="C39" i="2"/>
  <c r="B39" i="2" a="1"/>
  <c r="B39" i="2" s="1"/>
  <c r="F38" i="2"/>
  <c r="G38" i="2" s="1"/>
  <c r="E38" i="2"/>
  <c r="D38" i="2"/>
  <c r="C38" i="2"/>
  <c r="B38" i="2" a="1"/>
  <c r="B38" i="2" s="1"/>
  <c r="G37" i="2"/>
  <c r="F37" i="2"/>
  <c r="E37" i="2"/>
  <c r="D37" i="2"/>
  <c r="C37" i="2"/>
  <c r="B37" i="2" a="1"/>
  <c r="B37" i="2" s="1"/>
  <c r="G36" i="2"/>
  <c r="F36" i="2"/>
  <c r="E36" i="2"/>
  <c r="D36" i="2"/>
  <c r="C36" i="2"/>
  <c r="B36" i="2" a="1"/>
  <c r="B36" i="2" s="1"/>
  <c r="G35" i="2"/>
  <c r="F35" i="2"/>
  <c r="E35" i="2"/>
  <c r="D35" i="2"/>
  <c r="C35" i="2"/>
  <c r="B35" i="2" a="1"/>
  <c r="B35" i="2"/>
  <c r="G34" i="2"/>
  <c r="F34" i="2"/>
  <c r="E34" i="2"/>
  <c r="D34" i="2"/>
  <c r="C34" i="2"/>
  <c r="B34" i="2" a="1"/>
  <c r="B34" i="2"/>
  <c r="G33" i="2"/>
  <c r="F33" i="2"/>
  <c r="E33" i="2"/>
  <c r="D33" i="2"/>
  <c r="C33" i="2"/>
  <c r="B33" i="2" a="1"/>
  <c r="B33" i="2"/>
  <c r="F32" i="2"/>
  <c r="G32" i="2" s="1"/>
  <c r="E32" i="2"/>
  <c r="D32" i="2"/>
  <c r="C32" i="2"/>
  <c r="B32" i="2" a="1"/>
  <c r="B32" i="2"/>
  <c r="F31" i="2"/>
  <c r="G31" i="2" s="1"/>
  <c r="E31" i="2"/>
  <c r="D31" i="2"/>
  <c r="C31" i="2"/>
  <c r="B31" i="2" a="1"/>
  <c r="B31" i="2" s="1"/>
  <c r="F30" i="2"/>
  <c r="G30" i="2" s="1"/>
  <c r="E30" i="2"/>
  <c r="D30" i="2"/>
  <c r="C30" i="2"/>
  <c r="B30" i="2" a="1"/>
  <c r="B30" i="2"/>
  <c r="F29" i="2"/>
  <c r="G29" i="2" s="1"/>
  <c r="E29" i="2"/>
  <c r="D29" i="2"/>
  <c r="C29" i="2"/>
  <c r="B29" i="2" a="1"/>
  <c r="B29" i="2"/>
  <c r="G28" i="2"/>
  <c r="F28" i="2"/>
  <c r="E28" i="2"/>
  <c r="D28" i="2"/>
  <c r="C28" i="2"/>
  <c r="B28" i="2" a="1"/>
  <c r="B28" i="2" s="1"/>
  <c r="F27" i="2"/>
  <c r="G27" i="2" s="1"/>
  <c r="E27" i="2"/>
  <c r="D27" i="2"/>
  <c r="C27" i="2"/>
  <c r="B27" i="2" a="1"/>
  <c r="B27" i="2" s="1"/>
  <c r="F26" i="2"/>
  <c r="G26" i="2" s="1"/>
  <c r="E26" i="2"/>
  <c r="D26" i="2"/>
  <c r="C26" i="2"/>
  <c r="B26" i="2" a="1"/>
  <c r="B26" i="2" s="1"/>
  <c r="G25" i="2"/>
  <c r="F25" i="2"/>
  <c r="E25" i="2"/>
  <c r="D25" i="2"/>
  <c r="C25" i="2"/>
  <c r="B25" i="2" a="1"/>
  <c r="B25" i="2" s="1"/>
  <c r="G24" i="2"/>
  <c r="F24" i="2"/>
  <c r="E24" i="2"/>
  <c r="D24" i="2"/>
  <c r="C24" i="2"/>
  <c r="B24" i="2" a="1"/>
  <c r="B24" i="2"/>
  <c r="G23" i="2"/>
  <c r="F23" i="2"/>
  <c r="E23" i="2"/>
  <c r="D23" i="2"/>
  <c r="C23" i="2"/>
  <c r="B23" i="2" a="1"/>
  <c r="B23" i="2"/>
  <c r="G22" i="2"/>
  <c r="F22" i="2"/>
  <c r="E22" i="2"/>
  <c r="D22" i="2"/>
  <c r="C22" i="2"/>
  <c r="B22" i="2" a="1"/>
  <c r="B22" i="2" s="1"/>
  <c r="F21" i="2"/>
  <c r="G21" i="2" s="1"/>
  <c r="E21" i="2"/>
  <c r="D21" i="2"/>
  <c r="C21" i="2"/>
  <c r="B21" i="2" a="1"/>
  <c r="B21" i="2"/>
  <c r="F20" i="2"/>
  <c r="G20" i="2" s="1"/>
  <c r="E20" i="2"/>
  <c r="D20" i="2"/>
  <c r="C20" i="2"/>
  <c r="B20" i="2" a="1"/>
  <c r="B20" i="2"/>
  <c r="G19" i="2"/>
  <c r="F19" i="2"/>
  <c r="E19" i="2"/>
  <c r="D19" i="2"/>
  <c r="C19" i="2"/>
  <c r="B19" i="2" a="1"/>
  <c r="B19" i="2" s="1"/>
  <c r="F18" i="2"/>
  <c r="G18" i="2" s="1"/>
  <c r="E18" i="2"/>
  <c r="D18" i="2"/>
  <c r="C18" i="2"/>
  <c r="B18" i="2" a="1"/>
  <c r="B18" i="2" s="1"/>
  <c r="F17" i="2"/>
  <c r="G17" i="2" s="1"/>
  <c r="E17" i="2"/>
  <c r="D17" i="2"/>
  <c r="C17" i="2"/>
  <c r="B17" i="2" a="1"/>
  <c r="B17" i="2"/>
  <c r="G16" i="2"/>
  <c r="F16" i="2"/>
  <c r="E16" i="2"/>
  <c r="D16" i="2"/>
  <c r="C16" i="2"/>
  <c r="B16" i="2" a="1"/>
  <c r="B16" i="2" s="1"/>
  <c r="G15" i="2"/>
  <c r="F15" i="2"/>
  <c r="E15" i="2"/>
  <c r="D15" i="2"/>
  <c r="C15" i="2"/>
  <c r="B15" i="2" a="1"/>
  <c r="B15" i="2"/>
  <c r="F14" i="2"/>
  <c r="G14" i="2" s="1"/>
  <c r="E14" i="2"/>
  <c r="D14" i="2"/>
  <c r="C14" i="2"/>
  <c r="B14" i="2" a="1"/>
  <c r="B14" i="2" s="1"/>
  <c r="G13" i="2"/>
  <c r="F13" i="2"/>
  <c r="E13" i="2"/>
  <c r="D13" i="2"/>
  <c r="C13" i="2"/>
  <c r="B13" i="2" a="1"/>
  <c r="B13" i="2" s="1"/>
  <c r="F12" i="2"/>
  <c r="G12" i="2" s="1"/>
  <c r="E12" i="2"/>
  <c r="D12" i="2"/>
  <c r="C12" i="2"/>
  <c r="B12" i="2" a="1"/>
  <c r="B12" i="2"/>
  <c r="G11" i="2"/>
  <c r="F11" i="2"/>
  <c r="E11" i="2"/>
  <c r="D11" i="2"/>
  <c r="C11" i="2"/>
  <c r="B11" i="2" a="1"/>
  <c r="B11" i="2"/>
  <c r="G10" i="2"/>
  <c r="F10" i="2"/>
  <c r="E10" i="2"/>
  <c r="D10" i="2"/>
  <c r="C10" i="2"/>
  <c r="B10" i="2" a="1"/>
  <c r="B10" i="2" s="1"/>
  <c r="F9" i="2"/>
  <c r="G9" i="2" s="1"/>
  <c r="E9" i="2"/>
  <c r="D9" i="2"/>
  <c r="C9" i="2"/>
  <c r="B9" i="2" a="1"/>
  <c r="B9" i="2" s="1"/>
  <c r="K8" i="2"/>
  <c r="J8" i="2"/>
  <c r="G8" i="2"/>
  <c r="F8" i="2"/>
  <c r="E8" i="2"/>
  <c r="D8" i="2"/>
  <c r="C8" i="2"/>
  <c r="B8" i="2" a="1"/>
  <c r="B8" i="2" s="1"/>
  <c r="I7" i="2"/>
  <c r="K7" i="2" s="1"/>
  <c r="F7" i="2"/>
  <c r="G7" i="2" s="1"/>
  <c r="E7" i="2"/>
  <c r="D7" i="2"/>
  <c r="C7" i="2"/>
  <c r="B7" i="2" a="1"/>
  <c r="B7" i="2"/>
  <c r="I6" i="2"/>
  <c r="K6" i="2" s="1"/>
  <c r="F6" i="2"/>
  <c r="G6" i="2" s="1"/>
  <c r="E6" i="2"/>
  <c r="D6" i="2"/>
  <c r="C6" i="2"/>
  <c r="B6" i="2" a="1"/>
  <c r="B6" i="2" s="1"/>
  <c r="I5" i="2"/>
  <c r="K5" i="2" s="1"/>
  <c r="F5" i="2"/>
  <c r="G5" i="2" s="1"/>
  <c r="E5" i="2"/>
  <c r="D5" i="2"/>
  <c r="C5" i="2"/>
  <c r="B5" i="2" a="1"/>
  <c r="B5" i="2" s="1"/>
  <c r="I4" i="2"/>
  <c r="K4" i="2" s="1"/>
  <c r="F4" i="2"/>
  <c r="G4" i="2" s="1"/>
  <c r="E4" i="2"/>
  <c r="D4" i="2"/>
  <c r="C4" i="2"/>
  <c r="B4" i="2" a="1"/>
  <c r="B4" i="2" s="1"/>
  <c r="I3" i="2"/>
  <c r="K3" i="2" s="1"/>
  <c r="F3" i="2"/>
  <c r="G3" i="2" s="1"/>
  <c r="E3" i="2"/>
  <c r="D3" i="2"/>
  <c r="C3" i="2"/>
  <c r="B3" i="2" a="1"/>
  <c r="B3" i="2" s="1"/>
  <c r="I2" i="2"/>
  <c r="J2" i="2" s="1"/>
  <c r="A2" i="2"/>
  <c r="E2" i="2" s="1"/>
  <c r="T263" i="1"/>
  <c r="S263" i="1"/>
  <c r="R263" i="1"/>
  <c r="T262" i="1"/>
  <c r="S262" i="1"/>
  <c r="R262" i="1"/>
  <c r="T261" i="1"/>
  <c r="S261" i="1"/>
  <c r="R261" i="1"/>
  <c r="T260" i="1"/>
  <c r="S260" i="1"/>
  <c r="R260" i="1"/>
  <c r="T259" i="1"/>
  <c r="S259" i="1"/>
  <c r="R259" i="1"/>
  <c r="T258" i="1"/>
  <c r="S258" i="1"/>
  <c r="R258" i="1"/>
  <c r="T257" i="1"/>
  <c r="S257" i="1"/>
  <c r="R257" i="1"/>
  <c r="T256" i="1"/>
  <c r="S256" i="1"/>
  <c r="R256" i="1"/>
  <c r="T255" i="1"/>
  <c r="S255" i="1"/>
  <c r="R255" i="1"/>
  <c r="T254" i="1"/>
  <c r="S254" i="1"/>
  <c r="R254" i="1"/>
  <c r="T253" i="1"/>
  <c r="S253" i="1"/>
  <c r="R253" i="1"/>
  <c r="T252" i="1"/>
  <c r="S252" i="1"/>
  <c r="R252" i="1"/>
  <c r="T251" i="1"/>
  <c r="S251" i="1"/>
  <c r="R251" i="1"/>
  <c r="T250" i="1"/>
  <c r="S250" i="1"/>
  <c r="R250" i="1"/>
  <c r="T249" i="1"/>
  <c r="S249" i="1"/>
  <c r="R249" i="1"/>
  <c r="T248" i="1"/>
  <c r="S248" i="1"/>
  <c r="R248" i="1"/>
  <c r="T247" i="1"/>
  <c r="S247" i="1"/>
  <c r="R247" i="1"/>
  <c r="T246" i="1"/>
  <c r="S246" i="1"/>
  <c r="R246" i="1"/>
  <c r="T245" i="1"/>
  <c r="S245" i="1"/>
  <c r="R245" i="1"/>
  <c r="T244" i="1"/>
  <c r="S244" i="1"/>
  <c r="R244" i="1"/>
  <c r="T243" i="1"/>
  <c r="S243" i="1"/>
  <c r="R243" i="1"/>
  <c r="T242" i="1"/>
  <c r="S242" i="1"/>
  <c r="R242" i="1"/>
  <c r="T241" i="1"/>
  <c r="S241" i="1"/>
  <c r="R241" i="1"/>
  <c r="T240" i="1"/>
  <c r="S240" i="1"/>
  <c r="R240" i="1"/>
  <c r="T239" i="1"/>
  <c r="S239" i="1"/>
  <c r="R239" i="1"/>
  <c r="T238" i="1"/>
  <c r="S238" i="1"/>
  <c r="R238" i="1"/>
  <c r="T237" i="1"/>
  <c r="S237" i="1"/>
  <c r="R237" i="1"/>
  <c r="T236" i="1"/>
  <c r="S236" i="1"/>
  <c r="R236" i="1"/>
  <c r="T235" i="1"/>
  <c r="S235" i="1"/>
  <c r="R235" i="1"/>
  <c r="T234" i="1"/>
  <c r="S234" i="1"/>
  <c r="R234" i="1"/>
  <c r="T233" i="1"/>
  <c r="S233" i="1"/>
  <c r="R233" i="1"/>
  <c r="T232" i="1"/>
  <c r="S232" i="1"/>
  <c r="R232" i="1"/>
  <c r="T231" i="1"/>
  <c r="S231" i="1"/>
  <c r="R231" i="1"/>
  <c r="T230" i="1"/>
  <c r="S230" i="1"/>
  <c r="R230" i="1"/>
  <c r="T229" i="1"/>
  <c r="S229" i="1"/>
  <c r="R229" i="1"/>
  <c r="T228" i="1"/>
  <c r="S228" i="1"/>
  <c r="R228" i="1"/>
  <c r="T227" i="1"/>
  <c r="S227" i="1"/>
  <c r="R227" i="1"/>
  <c r="T226" i="1"/>
  <c r="S226" i="1"/>
  <c r="R226" i="1"/>
  <c r="T225" i="1"/>
  <c r="S225" i="1"/>
  <c r="R225" i="1"/>
  <c r="T224" i="1"/>
  <c r="S224" i="1"/>
  <c r="R224" i="1"/>
  <c r="T223" i="1"/>
  <c r="S223" i="1"/>
  <c r="R223" i="1"/>
  <c r="T222" i="1"/>
  <c r="S222" i="1"/>
  <c r="R222" i="1"/>
  <c r="T221" i="1"/>
  <c r="S221" i="1"/>
  <c r="R221" i="1"/>
  <c r="T220" i="1"/>
  <c r="S220" i="1"/>
  <c r="R220" i="1"/>
  <c r="T219" i="1"/>
  <c r="S219" i="1"/>
  <c r="R219" i="1"/>
  <c r="T218" i="1"/>
  <c r="S218" i="1"/>
  <c r="R218" i="1"/>
  <c r="T217" i="1"/>
  <c r="S217" i="1"/>
  <c r="R217" i="1"/>
  <c r="T216" i="1"/>
  <c r="S216" i="1"/>
  <c r="R216" i="1"/>
  <c r="T215" i="1"/>
  <c r="S215" i="1"/>
  <c r="R215" i="1"/>
  <c r="T214" i="1"/>
  <c r="S214" i="1"/>
  <c r="R214" i="1"/>
  <c r="T213" i="1"/>
  <c r="S213" i="1"/>
  <c r="R213" i="1"/>
  <c r="T212" i="1"/>
  <c r="S212" i="1"/>
  <c r="R212" i="1"/>
  <c r="T211" i="1"/>
  <c r="S211" i="1"/>
  <c r="R211" i="1"/>
  <c r="T210" i="1"/>
  <c r="S210" i="1"/>
  <c r="R210" i="1"/>
  <c r="T209" i="1"/>
  <c r="S209" i="1"/>
  <c r="R209" i="1"/>
  <c r="T208" i="1"/>
  <c r="S208" i="1"/>
  <c r="R208" i="1"/>
  <c r="T207" i="1"/>
  <c r="S207" i="1"/>
  <c r="R207" i="1"/>
  <c r="T206" i="1"/>
  <c r="S206" i="1"/>
  <c r="R206" i="1"/>
  <c r="T205" i="1"/>
  <c r="S205" i="1"/>
  <c r="R205" i="1"/>
  <c r="T204" i="1"/>
  <c r="S204" i="1"/>
  <c r="R204" i="1"/>
  <c r="T203" i="1"/>
  <c r="S203" i="1"/>
  <c r="R203" i="1"/>
  <c r="T202" i="1"/>
  <c r="S202" i="1"/>
  <c r="R202" i="1"/>
  <c r="T201" i="1"/>
  <c r="S201" i="1"/>
  <c r="R201" i="1"/>
  <c r="T200" i="1"/>
  <c r="S200" i="1"/>
  <c r="R200" i="1"/>
  <c r="T199" i="1"/>
  <c r="S199" i="1"/>
  <c r="R199" i="1"/>
  <c r="T198" i="1"/>
  <c r="S198" i="1"/>
  <c r="R198" i="1"/>
  <c r="T197" i="1"/>
  <c r="S197" i="1"/>
  <c r="R197" i="1"/>
  <c r="T196" i="1"/>
  <c r="S196" i="1"/>
  <c r="R196" i="1"/>
  <c r="T195" i="1"/>
  <c r="S195" i="1"/>
  <c r="R195" i="1"/>
  <c r="T194" i="1"/>
  <c r="S194" i="1"/>
  <c r="R194" i="1"/>
  <c r="T193" i="1"/>
  <c r="S193" i="1"/>
  <c r="R193" i="1"/>
  <c r="T192" i="1"/>
  <c r="S192" i="1"/>
  <c r="R192" i="1"/>
  <c r="T191" i="1"/>
  <c r="S191" i="1"/>
  <c r="R191" i="1"/>
  <c r="T190" i="1"/>
  <c r="S190" i="1"/>
  <c r="R190" i="1"/>
  <c r="T189" i="1"/>
  <c r="S189" i="1"/>
  <c r="R189" i="1"/>
  <c r="T188" i="1"/>
  <c r="S188" i="1"/>
  <c r="R188" i="1"/>
  <c r="T187" i="1"/>
  <c r="S187" i="1"/>
  <c r="R187" i="1"/>
  <c r="T186" i="1"/>
  <c r="S186" i="1"/>
  <c r="R186" i="1"/>
  <c r="T185" i="1"/>
  <c r="S185" i="1"/>
  <c r="R185" i="1"/>
  <c r="T184" i="1"/>
  <c r="S184" i="1"/>
  <c r="R184" i="1"/>
  <c r="T183" i="1"/>
  <c r="S183" i="1"/>
  <c r="R183" i="1"/>
  <c r="T182" i="1"/>
  <c r="S182" i="1"/>
  <c r="R182" i="1"/>
  <c r="U181" i="1"/>
  <c r="T181" i="1"/>
  <c r="S181" i="1"/>
  <c r="R181" i="1"/>
  <c r="U180" i="1"/>
  <c r="T180" i="1"/>
  <c r="S180" i="1"/>
  <c r="R180" i="1"/>
  <c r="U179" i="1"/>
  <c r="T179" i="1"/>
  <c r="S179" i="1"/>
  <c r="R179" i="1"/>
  <c r="U178" i="1"/>
  <c r="T178" i="1"/>
  <c r="S178" i="1"/>
  <c r="R178" i="1"/>
  <c r="U177" i="1"/>
  <c r="T177" i="1"/>
  <c r="S177" i="1"/>
  <c r="R177" i="1"/>
  <c r="U176" i="1"/>
  <c r="T176" i="1"/>
  <c r="S176" i="1"/>
  <c r="R176" i="1"/>
  <c r="U175" i="1"/>
  <c r="T175" i="1"/>
  <c r="S175" i="1"/>
  <c r="R175" i="1"/>
  <c r="U174" i="1"/>
  <c r="T174" i="1"/>
  <c r="S174" i="1"/>
  <c r="R174" i="1"/>
  <c r="U173" i="1"/>
  <c r="T173" i="1"/>
  <c r="S173" i="1"/>
  <c r="R173" i="1"/>
  <c r="U172" i="1"/>
  <c r="T172" i="1"/>
  <c r="S172" i="1"/>
  <c r="R172" i="1"/>
  <c r="U171" i="1"/>
  <c r="T171" i="1"/>
  <c r="S171" i="1"/>
  <c r="R171" i="1"/>
  <c r="U170" i="1"/>
  <c r="T170" i="1"/>
  <c r="S170" i="1"/>
  <c r="R170" i="1"/>
  <c r="U169" i="1"/>
  <c r="T169" i="1"/>
  <c r="S169" i="1"/>
  <c r="R169" i="1"/>
  <c r="U168" i="1"/>
  <c r="T168" i="1"/>
  <c r="S168" i="1"/>
  <c r="R168" i="1"/>
  <c r="U167" i="1"/>
  <c r="T167" i="1"/>
  <c r="S167" i="1"/>
  <c r="R167" i="1"/>
  <c r="U166" i="1"/>
  <c r="T166" i="1"/>
  <c r="S166" i="1"/>
  <c r="R166" i="1"/>
  <c r="U165" i="1"/>
  <c r="T165" i="1"/>
  <c r="S165" i="1"/>
  <c r="R165" i="1"/>
  <c r="U164" i="1"/>
  <c r="T164" i="1"/>
  <c r="S164" i="1"/>
  <c r="R164" i="1"/>
  <c r="U163" i="1"/>
  <c r="T163" i="1"/>
  <c r="S163" i="1"/>
  <c r="R163" i="1"/>
  <c r="U162" i="1"/>
  <c r="T162" i="1"/>
  <c r="S162" i="1"/>
  <c r="R162" i="1"/>
  <c r="U161" i="1"/>
  <c r="T161" i="1"/>
  <c r="S161" i="1"/>
  <c r="R161" i="1"/>
  <c r="U160" i="1"/>
  <c r="T160" i="1"/>
  <c r="S160" i="1"/>
  <c r="R160" i="1"/>
  <c r="U159" i="1"/>
  <c r="T159" i="1"/>
  <c r="S159" i="1"/>
  <c r="R159" i="1"/>
  <c r="U158" i="1"/>
  <c r="T158" i="1"/>
  <c r="S158" i="1"/>
  <c r="R158" i="1"/>
  <c r="U157" i="1"/>
  <c r="T157" i="1"/>
  <c r="S157" i="1"/>
  <c r="R157" i="1"/>
  <c r="U156" i="1"/>
  <c r="T156" i="1"/>
  <c r="S156" i="1"/>
  <c r="R156" i="1"/>
  <c r="U155" i="1"/>
  <c r="T155" i="1"/>
  <c r="S155" i="1"/>
  <c r="R155" i="1"/>
  <c r="U154" i="1"/>
  <c r="T154" i="1"/>
  <c r="S154" i="1"/>
  <c r="R154" i="1"/>
  <c r="U153" i="1"/>
  <c r="T153" i="1"/>
  <c r="S153" i="1"/>
  <c r="R153" i="1"/>
  <c r="U152" i="1"/>
  <c r="T152" i="1"/>
  <c r="S152" i="1"/>
  <c r="R152" i="1"/>
  <c r="U151" i="1"/>
  <c r="T151" i="1"/>
  <c r="S151" i="1"/>
  <c r="R151" i="1"/>
  <c r="U150" i="1"/>
  <c r="T150" i="1"/>
  <c r="S150" i="1"/>
  <c r="R150" i="1"/>
  <c r="U149" i="1"/>
  <c r="T149" i="1"/>
  <c r="S149" i="1"/>
  <c r="R149" i="1"/>
  <c r="U148" i="1"/>
  <c r="T148" i="1"/>
  <c r="S148" i="1"/>
  <c r="R148" i="1"/>
  <c r="U147" i="1"/>
  <c r="T147" i="1"/>
  <c r="S147" i="1"/>
  <c r="R147" i="1"/>
  <c r="U146" i="1"/>
  <c r="T146" i="1"/>
  <c r="S146" i="1"/>
  <c r="R146" i="1"/>
  <c r="U145" i="1"/>
  <c r="T145" i="1"/>
  <c r="S145" i="1"/>
  <c r="R145" i="1"/>
  <c r="U144" i="1"/>
  <c r="T144" i="1"/>
  <c r="S144" i="1"/>
  <c r="R144" i="1"/>
  <c r="U143" i="1"/>
  <c r="T143" i="1"/>
  <c r="S143" i="1"/>
  <c r="R143" i="1"/>
  <c r="U142" i="1"/>
  <c r="T142" i="1"/>
  <c r="S142" i="1"/>
  <c r="R142" i="1"/>
  <c r="U141" i="1"/>
  <c r="T141" i="1"/>
  <c r="S141" i="1"/>
  <c r="R141" i="1"/>
  <c r="U140" i="1"/>
  <c r="T140" i="1"/>
  <c r="S140" i="1"/>
  <c r="R140" i="1"/>
  <c r="U139" i="1"/>
  <c r="T139" i="1"/>
  <c r="S139" i="1"/>
  <c r="R139" i="1"/>
  <c r="U138" i="1"/>
  <c r="T138" i="1"/>
  <c r="S138" i="1"/>
  <c r="R138" i="1"/>
  <c r="U137" i="1"/>
  <c r="T137" i="1"/>
  <c r="S137" i="1"/>
  <c r="R137" i="1"/>
  <c r="U136" i="1"/>
  <c r="T136" i="1"/>
  <c r="S136" i="1"/>
  <c r="R136" i="1"/>
  <c r="U135" i="1"/>
  <c r="T135" i="1"/>
  <c r="S135" i="1"/>
  <c r="R135" i="1"/>
  <c r="U134" i="1"/>
  <c r="T134" i="1"/>
  <c r="S134" i="1"/>
  <c r="R134" i="1"/>
  <c r="U133" i="1"/>
  <c r="T133" i="1"/>
  <c r="S133" i="1"/>
  <c r="R133" i="1"/>
  <c r="U132" i="1"/>
  <c r="T132" i="1"/>
  <c r="S132" i="1"/>
  <c r="R132" i="1"/>
  <c r="U131" i="1"/>
  <c r="T131" i="1"/>
  <c r="S131" i="1"/>
  <c r="R131" i="1"/>
  <c r="U130" i="1"/>
  <c r="T130" i="1"/>
  <c r="S130" i="1"/>
  <c r="R130" i="1"/>
  <c r="U129" i="1"/>
  <c r="T129" i="1"/>
  <c r="S129" i="1"/>
  <c r="R129" i="1"/>
  <c r="U128" i="1"/>
  <c r="T128" i="1"/>
  <c r="S128" i="1"/>
  <c r="R128" i="1"/>
  <c r="U127" i="1"/>
  <c r="T127" i="1"/>
  <c r="S127" i="1"/>
  <c r="R127" i="1"/>
  <c r="U126" i="1"/>
  <c r="T126" i="1"/>
  <c r="S126" i="1"/>
  <c r="R126" i="1"/>
  <c r="U125" i="1"/>
  <c r="T125" i="1"/>
  <c r="S125" i="1"/>
  <c r="R125" i="1"/>
  <c r="U124" i="1"/>
  <c r="T124" i="1"/>
  <c r="S124" i="1"/>
  <c r="R124" i="1"/>
  <c r="U123" i="1"/>
  <c r="T123" i="1"/>
  <c r="S123" i="1"/>
  <c r="R123" i="1"/>
  <c r="U122" i="1"/>
  <c r="T122" i="1"/>
  <c r="S122" i="1"/>
  <c r="R122" i="1"/>
  <c r="U121" i="1"/>
  <c r="T121" i="1"/>
  <c r="S121" i="1"/>
  <c r="R121" i="1"/>
  <c r="U120" i="1"/>
  <c r="T120" i="1"/>
  <c r="S120" i="1"/>
  <c r="R120" i="1"/>
  <c r="U119" i="1"/>
  <c r="T119" i="1"/>
  <c r="S119" i="1"/>
  <c r="R119" i="1"/>
  <c r="U118" i="1"/>
  <c r="T118" i="1"/>
  <c r="S118" i="1"/>
  <c r="R118" i="1"/>
  <c r="U117" i="1"/>
  <c r="T117" i="1"/>
  <c r="S117" i="1"/>
  <c r="R117" i="1"/>
  <c r="U116" i="1"/>
  <c r="T116" i="1"/>
  <c r="S116" i="1"/>
  <c r="R116" i="1"/>
  <c r="U115" i="1"/>
  <c r="T115" i="1"/>
  <c r="S115" i="1"/>
  <c r="R115" i="1"/>
  <c r="U114" i="1"/>
  <c r="T114" i="1"/>
  <c r="S114" i="1"/>
  <c r="R114" i="1"/>
  <c r="U113" i="1"/>
  <c r="T113" i="1"/>
  <c r="S113" i="1"/>
  <c r="R113" i="1"/>
  <c r="U112" i="1"/>
  <c r="T112" i="1"/>
  <c r="S112" i="1"/>
  <c r="R112" i="1"/>
  <c r="U111" i="1"/>
  <c r="T111" i="1"/>
  <c r="S111" i="1"/>
  <c r="R111" i="1"/>
  <c r="U110" i="1"/>
  <c r="T110" i="1"/>
  <c r="S110" i="1"/>
  <c r="R110" i="1"/>
  <c r="U109" i="1"/>
  <c r="T109" i="1"/>
  <c r="S109" i="1"/>
  <c r="R109" i="1"/>
  <c r="U108" i="1"/>
  <c r="T108" i="1"/>
  <c r="S108" i="1"/>
  <c r="R108" i="1"/>
  <c r="U107" i="1"/>
  <c r="T107" i="1"/>
  <c r="S107" i="1"/>
  <c r="R107" i="1"/>
  <c r="U106" i="1"/>
  <c r="T106" i="1"/>
  <c r="S106" i="1"/>
  <c r="R106" i="1"/>
  <c r="U105" i="1"/>
  <c r="T105" i="1"/>
  <c r="S105" i="1"/>
  <c r="R105" i="1"/>
  <c r="U104" i="1"/>
  <c r="T104" i="1"/>
  <c r="S104" i="1"/>
  <c r="R104" i="1"/>
  <c r="U103" i="1"/>
  <c r="T103" i="1"/>
  <c r="S103" i="1"/>
  <c r="R103" i="1"/>
  <c r="U102" i="1"/>
  <c r="T102" i="1"/>
  <c r="S102" i="1"/>
  <c r="R102" i="1"/>
  <c r="U101" i="1"/>
  <c r="T101" i="1"/>
  <c r="S101" i="1"/>
  <c r="R101" i="1"/>
  <c r="U100" i="1"/>
  <c r="T100" i="1"/>
  <c r="S100" i="1"/>
  <c r="R100" i="1"/>
  <c r="U99" i="1"/>
  <c r="T99" i="1"/>
  <c r="S99" i="1"/>
  <c r="R99" i="1"/>
  <c r="U98" i="1"/>
  <c r="T98" i="1"/>
  <c r="S98" i="1"/>
  <c r="R98" i="1"/>
  <c r="U97" i="1"/>
  <c r="T97" i="1"/>
  <c r="S97" i="1"/>
  <c r="R97" i="1"/>
  <c r="U96" i="1"/>
  <c r="T96" i="1"/>
  <c r="S96" i="1"/>
  <c r="R96" i="1"/>
  <c r="U95" i="1"/>
  <c r="T95" i="1"/>
  <c r="S95" i="1"/>
  <c r="R95" i="1"/>
  <c r="U94" i="1"/>
  <c r="T94" i="1"/>
  <c r="S94" i="1"/>
  <c r="R94" i="1"/>
  <c r="U93" i="1"/>
  <c r="T93" i="1"/>
  <c r="S93" i="1"/>
  <c r="R93" i="1"/>
  <c r="U92" i="1"/>
  <c r="T92" i="1"/>
  <c r="S92" i="1"/>
  <c r="R92" i="1"/>
  <c r="U91" i="1"/>
  <c r="T91" i="1"/>
  <c r="S91" i="1"/>
  <c r="R91" i="1"/>
  <c r="U90" i="1"/>
  <c r="T90" i="1"/>
  <c r="S90" i="1"/>
  <c r="R90" i="1"/>
  <c r="U89" i="1"/>
  <c r="T89" i="1"/>
  <c r="S89" i="1"/>
  <c r="R89" i="1"/>
  <c r="U88" i="1"/>
  <c r="T88" i="1"/>
  <c r="S88" i="1"/>
  <c r="R88" i="1"/>
  <c r="U87" i="1"/>
  <c r="T87" i="1"/>
  <c r="S87" i="1"/>
  <c r="R87" i="1"/>
  <c r="U86" i="1"/>
  <c r="T86" i="1"/>
  <c r="S86" i="1"/>
  <c r="R86" i="1"/>
  <c r="U85" i="1"/>
  <c r="T85" i="1"/>
  <c r="S85" i="1"/>
  <c r="R85" i="1"/>
  <c r="U84" i="1"/>
  <c r="T84" i="1"/>
  <c r="S84" i="1"/>
  <c r="R84" i="1"/>
  <c r="U83" i="1"/>
  <c r="T83" i="1"/>
  <c r="S83" i="1"/>
  <c r="R83" i="1"/>
  <c r="U82" i="1"/>
  <c r="T82" i="1"/>
  <c r="S82" i="1"/>
  <c r="R82" i="1"/>
  <c r="U81" i="1"/>
  <c r="T81" i="1"/>
  <c r="S81" i="1"/>
  <c r="R81" i="1"/>
  <c r="U80" i="1"/>
  <c r="T80" i="1"/>
  <c r="S80" i="1"/>
  <c r="R80" i="1"/>
  <c r="U79" i="1"/>
  <c r="T79" i="1"/>
  <c r="S79" i="1"/>
  <c r="R79" i="1"/>
  <c r="U78" i="1"/>
  <c r="T78" i="1"/>
  <c r="S78" i="1"/>
  <c r="R78" i="1"/>
  <c r="U77" i="1"/>
  <c r="T77" i="1"/>
  <c r="S77" i="1"/>
  <c r="R77" i="1"/>
  <c r="U76" i="1"/>
  <c r="T76" i="1"/>
  <c r="S76" i="1"/>
  <c r="R76" i="1"/>
  <c r="U75" i="1"/>
  <c r="T75" i="1"/>
  <c r="S75" i="1"/>
  <c r="R75" i="1"/>
  <c r="U74" i="1"/>
  <c r="T74" i="1"/>
  <c r="S74" i="1"/>
  <c r="R74" i="1"/>
  <c r="U73" i="1"/>
  <c r="T73" i="1"/>
  <c r="S73" i="1"/>
  <c r="R73" i="1"/>
  <c r="U72" i="1"/>
  <c r="T72" i="1"/>
  <c r="S72" i="1"/>
  <c r="R72" i="1"/>
  <c r="U71" i="1"/>
  <c r="T71" i="1"/>
  <c r="S71" i="1"/>
  <c r="R71" i="1"/>
  <c r="U70" i="1"/>
  <c r="T70" i="1"/>
  <c r="S70" i="1"/>
  <c r="R70" i="1"/>
  <c r="U69" i="1"/>
  <c r="T69" i="1"/>
  <c r="S69" i="1"/>
  <c r="R69" i="1"/>
  <c r="U68" i="1"/>
  <c r="T68" i="1"/>
  <c r="S68" i="1"/>
  <c r="R68" i="1"/>
  <c r="U67" i="1"/>
  <c r="T67" i="1"/>
  <c r="S67" i="1"/>
  <c r="R67" i="1"/>
  <c r="U66" i="1"/>
  <c r="T66" i="1"/>
  <c r="S66" i="1"/>
  <c r="R66" i="1"/>
  <c r="U65" i="1"/>
  <c r="T65" i="1"/>
  <c r="S65" i="1"/>
  <c r="R65" i="1"/>
  <c r="U64" i="1"/>
  <c r="T64" i="1"/>
  <c r="S64" i="1"/>
  <c r="R64" i="1"/>
  <c r="U63" i="1"/>
  <c r="T63" i="1"/>
  <c r="S63" i="1"/>
  <c r="R63" i="1"/>
  <c r="U62" i="1"/>
  <c r="T62" i="1"/>
  <c r="S62" i="1"/>
  <c r="R62" i="1"/>
  <c r="U61" i="1"/>
  <c r="T61" i="1"/>
  <c r="S61" i="1"/>
  <c r="R61" i="1"/>
  <c r="U60" i="1"/>
  <c r="T60" i="1"/>
  <c r="S60" i="1"/>
  <c r="R60" i="1"/>
  <c r="U59" i="1"/>
  <c r="T59" i="1"/>
  <c r="S59" i="1"/>
  <c r="R59" i="1"/>
  <c r="U58" i="1"/>
  <c r="T58" i="1"/>
  <c r="S58" i="1"/>
  <c r="R58" i="1"/>
  <c r="U57" i="1"/>
  <c r="T57" i="1"/>
  <c r="S57" i="1"/>
  <c r="R57" i="1"/>
  <c r="U56" i="1"/>
  <c r="T56" i="1"/>
  <c r="S56" i="1"/>
  <c r="R56" i="1"/>
  <c r="U55" i="1"/>
  <c r="T55" i="1"/>
  <c r="S55" i="1"/>
  <c r="R55" i="1"/>
  <c r="U54" i="1"/>
  <c r="T54" i="1"/>
  <c r="S54" i="1"/>
  <c r="R54" i="1"/>
  <c r="U53" i="1"/>
  <c r="T53" i="1"/>
  <c r="S53" i="1"/>
  <c r="R53" i="1"/>
  <c r="U52" i="1"/>
  <c r="T52" i="1"/>
  <c r="S52" i="1"/>
  <c r="R52" i="1"/>
  <c r="U51" i="1"/>
  <c r="T51" i="1"/>
  <c r="S51" i="1"/>
  <c r="R51" i="1"/>
  <c r="U50" i="1"/>
  <c r="T50" i="1"/>
  <c r="S50" i="1"/>
  <c r="R50" i="1"/>
  <c r="U49" i="1"/>
  <c r="T49" i="1"/>
  <c r="S49" i="1"/>
  <c r="R49" i="1"/>
  <c r="U48" i="1"/>
  <c r="T48" i="1"/>
  <c r="S48" i="1"/>
  <c r="R48" i="1"/>
  <c r="U47" i="1"/>
  <c r="T47" i="1"/>
  <c r="S47" i="1"/>
  <c r="R47" i="1"/>
  <c r="U46" i="1"/>
  <c r="T46" i="1"/>
  <c r="S46" i="1"/>
  <c r="R46" i="1"/>
  <c r="U45" i="1"/>
  <c r="T45" i="1"/>
  <c r="S45" i="1"/>
  <c r="R45" i="1"/>
  <c r="U44" i="1"/>
  <c r="T44" i="1"/>
  <c r="S44" i="1"/>
  <c r="R44" i="1"/>
  <c r="U43" i="1"/>
  <c r="T43" i="1"/>
  <c r="S43" i="1"/>
  <c r="R43" i="1"/>
  <c r="U42" i="1"/>
  <c r="T42" i="1"/>
  <c r="S42" i="1"/>
  <c r="R42" i="1"/>
  <c r="U41" i="1"/>
  <c r="T41" i="1"/>
  <c r="S41" i="1"/>
  <c r="R41" i="1"/>
  <c r="U40" i="1"/>
  <c r="T40" i="1"/>
  <c r="S40" i="1"/>
  <c r="R40" i="1"/>
  <c r="U39" i="1"/>
  <c r="T39" i="1"/>
  <c r="S39" i="1"/>
  <c r="R39" i="1"/>
  <c r="U38" i="1"/>
  <c r="T38" i="1"/>
  <c r="S38" i="1"/>
  <c r="R38" i="1"/>
  <c r="U37" i="1"/>
  <c r="T37" i="1"/>
  <c r="S37" i="1"/>
  <c r="R37" i="1"/>
  <c r="U36" i="1"/>
  <c r="T36" i="1"/>
  <c r="S36" i="1"/>
  <c r="R36" i="1"/>
  <c r="U35" i="1"/>
  <c r="T35" i="1"/>
  <c r="S35" i="1"/>
  <c r="R35" i="1"/>
  <c r="U34" i="1"/>
  <c r="T34" i="1"/>
  <c r="S34" i="1"/>
  <c r="R34" i="1"/>
  <c r="U33" i="1"/>
  <c r="T33" i="1"/>
  <c r="S33" i="1"/>
  <c r="R33" i="1"/>
  <c r="U32" i="1"/>
  <c r="T32" i="1"/>
  <c r="S32" i="1"/>
  <c r="R32" i="1"/>
  <c r="U31" i="1"/>
  <c r="T31" i="1"/>
  <c r="S31" i="1"/>
  <c r="R31" i="1"/>
  <c r="U30" i="1"/>
  <c r="T30" i="1"/>
  <c r="S30" i="1"/>
  <c r="R30" i="1"/>
  <c r="U29" i="1"/>
  <c r="T29" i="1"/>
  <c r="S29" i="1"/>
  <c r="R29" i="1"/>
  <c r="U28" i="1"/>
  <c r="T28" i="1"/>
  <c r="S28" i="1"/>
  <c r="R28" i="1"/>
  <c r="U27" i="1"/>
  <c r="T27" i="1"/>
  <c r="S27" i="1"/>
  <c r="R27" i="1"/>
  <c r="U26" i="1"/>
  <c r="T26" i="1"/>
  <c r="S26" i="1"/>
  <c r="R26" i="1"/>
  <c r="U25" i="1"/>
  <c r="T25" i="1"/>
  <c r="S25" i="1"/>
  <c r="R25" i="1"/>
  <c r="U24" i="1"/>
  <c r="T24" i="1"/>
  <c r="S24" i="1"/>
  <c r="R24" i="1"/>
  <c r="U23" i="1"/>
  <c r="T23" i="1"/>
  <c r="S23" i="1"/>
  <c r="R23" i="1"/>
  <c r="U22" i="1"/>
  <c r="T22" i="1"/>
  <c r="S22" i="1"/>
  <c r="R22" i="1"/>
  <c r="U21" i="1"/>
  <c r="T21" i="1"/>
  <c r="S21" i="1"/>
  <c r="R21" i="1"/>
  <c r="U20" i="1"/>
  <c r="T20" i="1"/>
  <c r="S20" i="1"/>
  <c r="R20" i="1"/>
  <c r="U19" i="1"/>
  <c r="T19" i="1"/>
  <c r="S19" i="1"/>
  <c r="R19" i="1"/>
  <c r="U18" i="1"/>
  <c r="T18" i="1"/>
  <c r="S18" i="1"/>
  <c r="R18" i="1"/>
  <c r="U17" i="1"/>
  <c r="T17" i="1"/>
  <c r="S17" i="1"/>
  <c r="R17" i="1"/>
  <c r="U16" i="1"/>
  <c r="T16" i="1"/>
  <c r="S16" i="1"/>
  <c r="R16" i="1"/>
  <c r="U15" i="1"/>
  <c r="T15" i="1"/>
  <c r="S15" i="1"/>
  <c r="R15" i="1"/>
  <c r="U14" i="1"/>
  <c r="T14" i="1"/>
  <c r="S14" i="1"/>
  <c r="R14" i="1"/>
  <c r="U13" i="1"/>
  <c r="T13" i="1"/>
  <c r="S13" i="1"/>
  <c r="R13" i="1"/>
  <c r="U12" i="1"/>
  <c r="T12" i="1"/>
  <c r="S12" i="1"/>
  <c r="R12" i="1"/>
  <c r="U11" i="1"/>
  <c r="T11" i="1"/>
  <c r="S11" i="1"/>
  <c r="R11" i="1"/>
  <c r="U10" i="1"/>
  <c r="T10" i="1"/>
  <c r="S10" i="1"/>
  <c r="R10" i="1"/>
  <c r="U9" i="1"/>
  <c r="T9" i="1"/>
  <c r="S9" i="1"/>
  <c r="R9" i="1"/>
  <c r="U8" i="1"/>
  <c r="T8" i="1"/>
  <c r="S8" i="1"/>
  <c r="R8" i="1"/>
  <c r="U7" i="1"/>
  <c r="T7" i="1"/>
  <c r="S7" i="1"/>
  <c r="R7" i="1"/>
  <c r="U6" i="1"/>
  <c r="T6" i="1"/>
  <c r="S6" i="1"/>
  <c r="R6" i="1"/>
  <c r="U5" i="1"/>
  <c r="T5" i="1"/>
  <c r="S5" i="1"/>
  <c r="R5" i="1"/>
  <c r="U4" i="1"/>
  <c r="T4" i="1"/>
  <c r="S4" i="1"/>
  <c r="R4" i="1"/>
  <c r="U3" i="1"/>
  <c r="T3" i="1"/>
  <c r="S3" i="1"/>
  <c r="R3" i="1"/>
  <c r="U2" i="1"/>
  <c r="T2" i="1"/>
  <c r="S2" i="1"/>
  <c r="R2" i="1"/>
  <c r="B2" i="2" l="1" a="1"/>
  <c r="B2" i="2" s="1"/>
  <c r="F2" i="2"/>
  <c r="G2" i="2" s="1"/>
  <c r="K2" i="2"/>
  <c r="J4" i="2"/>
  <c r="J6" i="2"/>
  <c r="C2" i="2"/>
  <c r="J3" i="2"/>
  <c r="D2" i="2"/>
  <c r="J5" i="2"/>
  <c r="J7" i="2"/>
</calcChain>
</file>

<file path=xl/sharedStrings.xml><?xml version="1.0" encoding="utf-8"?>
<sst xmlns="http://schemas.openxmlformats.org/spreadsheetml/2006/main" count="1180" uniqueCount="669">
  <si>
    <t>Dấu thời gian</t>
  </si>
  <si>
    <t>Zone của bạn (ghi đúng mẫu: Zone 1)</t>
  </si>
  <si>
    <t>Tên nhóm của bạn 
- ghi đúng mẫu: Nhóm 1 hoặc E1 (nếu trên bàn có ghi kí hiệu E1)</t>
  </si>
  <si>
    <t>Tên nhóm của nhóm được chấm
- ghi đúng mẫu: Nhóm 1 hoặc E1 (nếu trên bàn có ghi kí hiệu E1)</t>
  </si>
  <si>
    <t>Tên dự án/chủ đề của nhóm được chấm</t>
  </si>
  <si>
    <t xml:space="preserve">Điểm bài toán và bối cảnh enterprise (Use case rõ, user rõ, dữ liệu và ràng buộc enterprise được mô tả hợp lý)  </t>
  </si>
  <si>
    <t xml:space="preserve">Điểm kiến trúc triển khai (Chọn Cloud/On-prem/Hybrid có logic, giải thích được trade-off, phù hợp bối cảnh)  </t>
  </si>
  <si>
    <t xml:space="preserve">Điểm Cost analysis (Bóc cost theo thành phần, có mức MVP và Growth, nhận diện hidden cost)  </t>
  </si>
  <si>
    <t xml:space="preserve">Điểm Cost optimization (Chiến lược phù hợp, có lý do rõ, cân nhắc trade-off quality/cost)  </t>
  </si>
  <si>
    <t xml:space="preserve">Điểm Reliability &amp; Scaling (Có failure scenarios, fallback, monitoring, suy nghĩ về tải và độ ổn định)  </t>
  </si>
  <si>
    <t xml:space="preserve">Điểm Định hướng Track Phase 2 (Chọn track có căn cứ, liên hệ với kỹ năng và nhu cầu dự án)  </t>
  </si>
  <si>
    <t xml:space="preserve">Điểm Trình bày và phản biện (Trình bày rõ, đúng thời gian, trả lời câu hỏi có logic)  </t>
  </si>
  <si>
    <t>1 điểm mạnh nhất của đội (Viết ít nhất 1 câu cụ thể, nêu rõ phần nào ấn tượng nhất)</t>
  </si>
  <si>
    <t>1 điểm cần cải thiện nhất 
Nêu rõ phần nào (deployment / cost / reliability / track) và lý do</t>
  </si>
  <si>
    <t>Câu hỏi hoặc phản biện dành cho đội
Phải liên quan đến logic triển khai, cost hoặc reliability — không hỏi lại thông tin đã có trên slide</t>
  </si>
  <si>
    <t xml:space="preserve">Đề xuất nếu đội tiếp tục sang Phase 2  </t>
  </si>
  <si>
    <t xml:space="preserve">
Trao badge cho đội này </t>
  </si>
  <si>
    <t>Tong_diem</t>
  </si>
  <si>
    <t>Ten_nhom_duoc_cham_chuan</t>
  </si>
  <si>
    <t>Ten_nhom_cham_chuan</t>
  </si>
  <si>
    <t>Zone_chuan</t>
  </si>
  <si>
    <t xml:space="preserve">Zone 3 </t>
  </si>
  <si>
    <t>Nhóm 18</t>
  </si>
  <si>
    <t>Nhóm 17</t>
  </si>
  <si>
    <t>Manufacturing maintenance copilot</t>
  </si>
  <si>
    <t>Kĩ thuật tốt , tối ưu chi phí</t>
  </si>
  <si>
    <t>Triển khai thực tế còn khó khăn</t>
  </si>
  <si>
    <t>Cấu hình on-prem của nhóm là gì!</t>
  </si>
  <si>
    <t>Best Cost Thinking</t>
  </si>
  <si>
    <t>Trợ lý y tế AI</t>
  </si>
  <si>
    <t>Trình bày nhanh gọn đầy đủ, giả định thực tế</t>
  </si>
  <si>
    <t>Cost to quá</t>
  </si>
  <si>
    <t>Giải quyết khoảng trống enterprise cụ thể ntn</t>
  </si>
  <si>
    <t>Zone 4</t>
  </si>
  <si>
    <t>Nhóm 22</t>
  </si>
  <si>
    <t>Nhóm 34</t>
  </si>
  <si>
    <t>Bank operation Copilot</t>
  </si>
  <si>
    <t>Xứ lý request khách hàng tốt</t>
  </si>
  <si>
    <t>Không</t>
  </si>
  <si>
    <t>Bên nhóm tính scale to hơn như nào</t>
  </si>
  <si>
    <t>Best Enterprise Logic, Best Cost Thinking, Best Reliability Mindset, Best Track Recommendation, Best Critical Feedback</t>
  </si>
  <si>
    <t>University Admission &amp; Students support Agent</t>
  </si>
  <si>
    <t>Tối ưu chi phí tốt</t>
  </si>
  <si>
    <t>Scale dự án như thế nào ?</t>
  </si>
  <si>
    <t>Nhóm 21</t>
  </si>
  <si>
    <t>Nhóm 20</t>
  </si>
  <si>
    <t>Trợ lí ảo xanh SM</t>
  </si>
  <si>
    <t xml:space="preserve">Có phân tích, benmark cụ thể và chiến lược phát triển </t>
  </si>
  <si>
    <t>Deployment:UI/UX còn hơi đơn giản</t>
  </si>
  <si>
    <t>Làm sao PII hoàn chỉnh khi nộp form đăng kí tài xé</t>
  </si>
  <si>
    <t>Best Enterprise Logic</t>
  </si>
  <si>
    <t>Nhóm 19</t>
  </si>
  <si>
    <t>Agent hỗ trợ hỏi đáp sinh viên</t>
  </si>
  <si>
    <t>Thuyết trình mạch lạc</t>
  </si>
  <si>
    <t>Phần cost cần cải thiện vì dùng hybrid nhưng chưa rõ chi phí hạ tầng</t>
  </si>
  <si>
    <t>Giả sử agent trả sai thông tin của trường thì phải làm như nào</t>
  </si>
  <si>
    <t>Bank Operations Copilot</t>
  </si>
  <si>
    <t>Phân tích kỹ về ngành ngân hàng, quy định của ngân hàng (hiểu domain knowledge) để xây được chatbot đi đúng hướng</t>
  </si>
  <si>
    <t>Phần cost analysis nhóm chưa chia rõ ràng lắm, mới chỉ specify là cho 10000 user, setup ban đầu 200 triệu, chưa rõ 200 triệu là chi tiết các thành phần nào</t>
  </si>
  <si>
    <t>Nhờ nhóm giải đáp thêm về cấu trúc chi phí cho giai đoạn set up MVP, chi phí 200 triệu có vẻ hơi thấp, chưa đủ trả lương cho nhân sự làm dự án</t>
  </si>
  <si>
    <t>Trợ lý ảo Xanh SM</t>
  </si>
  <si>
    <t>Thiết kế hệ thống tối ưu cost tốt</t>
  </si>
  <si>
    <t>Tính năng cancel quy trình điền form lúc bấm nhầm</t>
  </si>
  <si>
    <t>Nhóm tính scale dự án như nào</t>
  </si>
  <si>
    <t>Vinschool one</t>
  </si>
  <si>
    <t>Có demo luôn, hệ thống rõ luồng, giải quyết đúng bài toán</t>
  </si>
  <si>
    <t>Hệ thống hoạt động sai về logic tối ưu chi phí: nên tìm giải pháp ít chi phí nhất thay vì gọi llm mạnh từ đầu</t>
  </si>
  <si>
    <t xml:space="preserve">Tại sao không cho rulebase trước khi gọi llm? Chi phí ước tính cụ thể bao nhiêu? </t>
  </si>
  <si>
    <t>Bank Copilot Operation</t>
  </si>
  <si>
    <t>Tuân thủ rõ các điều luật của nhà nước về bảo mật thôgn tin</t>
  </si>
  <si>
    <t>tìm hiểu sâu hơn về MLops về vấn đề bảo trì và giám sát</t>
  </si>
  <si>
    <t>cách đề ẩn danh dữ liệu khác hàng như nào khi dùng AI</t>
  </si>
  <si>
    <t>Best Reliability Mindset</t>
  </si>
  <si>
    <t>Zone 3</t>
  </si>
  <si>
    <t>Nhóm 1</t>
  </si>
  <si>
    <t>Nhóm 2</t>
  </si>
  <si>
    <t>VinUni Smart AI Assistant</t>
  </si>
  <si>
    <t>Mạnh đều</t>
  </si>
  <si>
    <t>Chưa tìm ra</t>
  </si>
  <si>
    <t>Ko có</t>
  </si>
  <si>
    <t>Nhóm 4</t>
  </si>
  <si>
    <t>Trợ lý học tập đa phương thức</t>
  </si>
  <si>
    <t>Hybird deployment</t>
  </si>
  <si>
    <t>Chưa ứng dụng dc cho nhiều tệp khách hàng/ ngách nhỏ</t>
  </si>
  <si>
    <t xml:space="preserve">Hiện web bắt người dùng nhìn vào màn hình full time, chưa phù hợp khi họ viết bài, ngoảnh mặt đi nói chuyện,... </t>
  </si>
  <si>
    <t>Có kiến thức cụ thể, nắm bắt được usecase</t>
  </si>
  <si>
    <t>Chi phí vẫn ở mức ổn với MVP chưa tốt cho production</t>
  </si>
  <si>
    <t>Trường hợp use vẫn dùng màn hình nhưng bật sang tab ytb hoặc fb thì sẽ như nào</t>
  </si>
  <si>
    <t>Vinuni smart AI Assistant</t>
  </si>
  <si>
    <t>Cost optimization tốt.</t>
  </si>
  <si>
    <t>Phần estimate lượng users chưa hợp lý.</t>
  </si>
  <si>
    <t>Dữ liệu nhạy cảm của user là gì?</t>
  </si>
  <si>
    <t>Agent hỗ trợ hỏi đáp về tuyển sinh cho sinh viên</t>
  </si>
  <si>
    <t>User rõ, use case rõ, dữ liệu và ràng buộc hợp lý</t>
  </si>
  <si>
    <t>Phần monitoring chưa rõ ràng, phản biện hơi chung chung</t>
  </si>
  <si>
    <t>Đối với các trường hợp mà agent trả lời sang thông tin như học phí thì chiến lược của team cụ thể như thế nào</t>
  </si>
  <si>
    <t>E1</t>
  </si>
  <si>
    <t xml:space="preserve">Ý tưởng triển khai tốt </t>
  </si>
  <si>
    <t xml:space="preserve">Không </t>
  </si>
  <si>
    <t>Không vì luồn ý tưởng tốt</t>
  </si>
  <si>
    <t>Nhóm 31</t>
  </si>
  <si>
    <t>Nhóm 33</t>
  </si>
  <si>
    <t>XanhSm ai help center</t>
  </si>
  <si>
    <t>Slide rõ ràng, số liệu có nguồn rõ ràng</t>
  </si>
  <si>
    <t>Nên thêm demo app nếu có</t>
  </si>
  <si>
    <t>Nhóm chỉ đưa ra số liệu cho các case chat giữa người dùng và tài xế nhưng phần lớn các cuốc xe không có lịch sử chat hoặc chỉ có cuộc gọi</t>
  </si>
  <si>
    <t>Zone 2</t>
  </si>
  <si>
    <t>Nhóm 3</t>
  </si>
  <si>
    <t>EduPlusAI</t>
  </si>
  <si>
    <t>Có cost analysis cụ thể</t>
  </si>
  <si>
    <t>còn thiếu monitoring</t>
  </si>
  <si>
    <t>không có</t>
  </si>
  <si>
    <t>Nhóm 12</t>
  </si>
  <si>
    <t>Nhóm 9</t>
  </si>
  <si>
    <t xml:space="preserve">Trình bày rõ ràng, </t>
  </si>
  <si>
    <t>Cost chưa làm rõ ở cập nhật database</t>
  </si>
  <si>
    <t xml:space="preserve">Tại sao ko tự huấn luyện llm riêng để trả lời </t>
  </si>
  <si>
    <t>Best Critical Feedback</t>
  </si>
  <si>
    <t>University admissions and student support agent</t>
  </si>
  <si>
    <t xml:space="preserve">Tối ưu chi phí tốt </t>
  </si>
  <si>
    <t>Cơ chế model cần tối ưu hơn (latency cao)</t>
  </si>
  <si>
    <t xml:space="preserve">Làm sao đảm bảo thông tin của nhà trường </t>
  </si>
  <si>
    <t>Best Track Recommendation, Best Critical Feedback</t>
  </si>
  <si>
    <t>Hệ thống trợ lý ảo thông minh</t>
  </si>
  <si>
    <t>Trình bày ấn tượng</t>
  </si>
  <si>
    <t>Tối ưu các chi phí deployment lên các nền tảng cloud</t>
  </si>
  <si>
    <t>Các cơ chế báo cáo lỗi hệ thống hoạt động như thế nào?</t>
  </si>
  <si>
    <t>Zone 6</t>
  </si>
  <si>
    <t>Nhóm 32</t>
  </si>
  <si>
    <t>XanhSM AI help center</t>
  </si>
  <si>
    <t>Work flow rõ ràng, giải thích dễ hiểu</t>
  </si>
  <si>
    <t>Chưa triển khai guardrail</t>
  </si>
  <si>
    <t>Vì sao không triển khai guardrail?</t>
  </si>
  <si>
    <t>Nhóm 11</t>
  </si>
  <si>
    <t>VinUni Admissions Agent</t>
  </si>
  <si>
    <t>Slide đẹp, trình bày rõ ràng, ý tưởng độc đáo</t>
  </si>
  <si>
    <t>Ko có gì</t>
  </si>
  <si>
    <t>Không có</t>
  </si>
  <si>
    <t>Các ràng buộc define rõ</t>
  </si>
  <si>
    <t>Nghiệp vụ ngân hàng cần rõ hơn</t>
  </si>
  <si>
    <t>Nhóm sẽ scale dự án như nào?</t>
  </si>
  <si>
    <t>Nhóm 10</t>
  </si>
  <si>
    <t>Slide minh hoạt trực quan, nội dung rõ ràng</t>
  </si>
  <si>
    <t>Có thể sử dụng llm local cho câu hỏi định tuyến tiết kiệm chi phí</t>
  </si>
  <si>
    <t>Câu hỏi định tuyến có sẵn đơn giản tại sao không dùng rule-base mà phải sài GPT3-5.</t>
  </si>
  <si>
    <t>Slide sạch đẹp</t>
  </si>
  <si>
    <t xml:space="preserve">Deployment </t>
  </si>
  <si>
    <t>Dữ liệu lưu trữ 2 nơi là On-premise và cloud, thì nếu một câu hỏi cần 2 loại dữ liệu mà một bên gặp vấn đề thì như thế nào</t>
  </si>
  <si>
    <t>Nhóm 23</t>
  </si>
  <si>
    <t>Chatbot cho Vinfast</t>
  </si>
  <si>
    <t>Phản biện mạch lạc</t>
  </si>
  <si>
    <t>Cần cải thiện sự rõ ràng hơn về chi phí ước tính. Vì có 1 số nhập nhằng trong việc tính toán chi phí</t>
  </si>
  <si>
    <t>Làm thế nào để chứng minh được về sự cải thiện hallucination trong đề tài của các bạn</t>
  </si>
  <si>
    <t>Bank operations copilot</t>
  </si>
  <si>
    <t>Team mạnh nhất ở phần reliability &amp; scaling, đã cân nhắc nhiều trường hợp có thể xảy ra trong tương lai khi deploy thực tế cho user</t>
  </si>
  <si>
    <t>Tổng quan dự án team chưa nêu rõ lắm</t>
  </si>
  <si>
    <t>Nhờ team làm rõ hơn về nội dung nghiệp vụ cụ thể chatbot sẽ xử lý</t>
  </si>
  <si>
    <t>VinUni smart AI</t>
  </si>
  <si>
    <t>Trình bày tốt</t>
  </si>
  <si>
    <t>Reliability cần cả thiện</t>
  </si>
  <si>
    <t xml:space="preserve">Tính cost như vậy đã hợp lý? </t>
  </si>
  <si>
    <t>Best Cost Thinking, Best Track Recommendation</t>
  </si>
  <si>
    <t>Workflow chi tiết</t>
  </si>
  <si>
    <t>Chưa rõ độ tin cậy của model local</t>
  </si>
  <si>
    <t>Chi phí tối ưu nhưng liệu có đảm bảo khi sử dụng model local open source</t>
  </si>
  <si>
    <t>Trình bày rõ ràng</t>
  </si>
  <si>
    <t>Deploy</t>
  </si>
  <si>
    <t>Sao không fine tuning model để chạy local mà phải dùng cloud</t>
  </si>
  <si>
    <t>Best Enterprise Logic, Best Cost Thinking, Best Reliability Mindset</t>
  </si>
  <si>
    <t>Ứng dụng AI quản lý học sinh vinschool</t>
  </si>
  <si>
    <t>Có giao diện demo rõ ràng, chiến lược xây dựng kiến trúc cụ thể, có kế hoạch scale rõ ràng</t>
  </si>
  <si>
    <t>Phần chi phí còn chung chung, chưa bóc tách chi tiết</t>
  </si>
  <si>
    <t>Nếu có 1000 người vào 1 lúc mà hệ thống bị lag thì phải làm sao</t>
  </si>
  <si>
    <t>EduPlusAI - Nền tảng Hỏi đáp nội bộ chuyên sâu trường học</t>
  </si>
  <si>
    <t>tập trung vào 1 phần chuyên sâu cụ thể của AI trong hệ thống trường học - cost giảm</t>
  </si>
  <si>
    <t>cải thiện cost - cần nguồn số liệu thực tế</t>
  </si>
  <si>
    <t>tại sao không dùng rulebase mà dùng các mô hình LLM</t>
  </si>
  <si>
    <t>Vinschool one ai assistant</t>
  </si>
  <si>
    <t>MVP bao quát tốt</t>
  </si>
  <si>
    <t>Áp dụng rule base trc AI</t>
  </si>
  <si>
    <t>Nhóm tính áp dụng rule base như nào</t>
  </si>
  <si>
    <t>vinschool one ai assistant</t>
  </si>
  <si>
    <t>đã xog mvp, quá nhanh!</t>
  </si>
  <si>
    <t>áp dụng rule based để tiết kiệm hơn</t>
  </si>
  <si>
    <t>nếu tăng người dùng lên 10000 users, hướng giải quyết</t>
  </si>
  <si>
    <t>Vinschool One "Smart Hub"</t>
  </si>
  <si>
    <t>Team đã có mvp, giao diện mobile nhìn đẹp mắt</t>
  </si>
  <si>
    <t>Team đang overloaded với AI với tất cả mọi vấn đề, cần các logic fixed rule hoặc sử dụng LLM Router để tối ưu chi phí</t>
  </si>
  <si>
    <t>Bạn nghĩ nghiệp vụ nào có thể đủ và không quá phức tạp để áp dụng rule base logic?</t>
  </si>
  <si>
    <t xml:space="preserve">Chatbot sale Vinfast </t>
  </si>
  <si>
    <t xml:space="preserve">3 chiến lược rõ ràng, có % tiết kiệm </t>
  </si>
  <si>
    <t>Cần cải thiện slide trực quan hơn</t>
  </si>
  <si>
    <t xml:space="preserve">Human escalation khi confidence thấp thì workflow cụ thể ? Làm sao tránh phiền sale quá nhiều </t>
  </si>
  <si>
    <t>Nhóm 30</t>
  </si>
  <si>
    <t xml:space="preserve">Cải thiên cost, có thể thay caching bằng rule base. Fix cứng 1 số câu hỏi cơ bản </t>
  </si>
  <si>
    <t>Câu hỏi giao tiếp cơ bản được hỏi lại nhiều lần. Thông tin nào được public thông tin nào được private. Guardrail không có</t>
  </si>
  <si>
    <t>Zone 1</t>
  </si>
  <si>
    <t xml:space="preserve">Nhóm 1 </t>
  </si>
  <si>
    <t xml:space="preserve">Hệ thống AI tra cứu thủ tục cấp quốc gia </t>
  </si>
  <si>
    <t>Đúng pain point cấp thiết, thủ tục hành chính rườm rà nhiều loại giấy tờ và thủ tục phức tạp khó nắm bắt</t>
  </si>
  <si>
    <t>Cost cần tính toán chi tiết hơn tại vì quy mô của dự án lớn, chi phí sẽ tăng theo tuyến tính và khó dự đoán.</t>
  </si>
  <si>
    <t>Mỗi lần cập nhật nghị định mới, dữ liệu mới, vector db phải cập nhật hoặc embedding lại từ đầu không? như nào để tối ưu cho phí</t>
  </si>
  <si>
    <t>Best Cost Thinking, Best Reliability Mindset</t>
  </si>
  <si>
    <t>University Admissions &amp; Student Support Agent</t>
  </si>
  <si>
    <t>Team trình bày tốt, slide đẹp và dễ hiểu</t>
  </si>
  <si>
    <t>Cần cải thiện cơ chế routing để tối ưu chi phí sử dụng LLM, và breakdown chi phí của nhóm chưa kỹ</t>
  </si>
  <si>
    <t>Team dự định sẽ mất các cấu phần chi phí chi tiết nào trong phase MVP và phase operation?</t>
  </si>
  <si>
    <t>Xanh SM</t>
  </si>
  <si>
    <t>Demo kỹ, trình bày rõ ràng</t>
  </si>
  <si>
    <t>Cost: cần tối ưu thêm rulebase, guardrail</t>
  </si>
  <si>
    <t xml:space="preserve">Nếu user spam hỏi thì sao? 1 tháng tổng cost bn???? </t>
  </si>
  <si>
    <t>Trợ lý ảo cho ứng dụng xanhsm</t>
  </si>
  <si>
    <t>Triển khai demo chạy được, kiến trúc rõ ràng, chi phí bóc tách chi tiết</t>
  </si>
  <si>
    <t>Chưa có fallback về xử lý human in the loop</t>
  </si>
  <si>
    <t>Chiến lược xử lý như nào khi có hàng nghìn người vào cùng lúc</t>
  </si>
  <si>
    <t>Nhóm 5</t>
  </si>
  <si>
    <t>Hệ thống AI Tra cứu thủ tục hành chính cấp Quốc Gia</t>
  </si>
  <si>
    <t>Kiến trúc Hybrid RAG, xử lí 2900 tokens mỗi truy vấn</t>
  </si>
  <si>
    <t xml:space="preserve">Cost hơi ảo giá </t>
  </si>
  <si>
    <t xml:space="preserve">Tại sao kh ra phường/xã mà làm, mà phải thông qua Agent, hiện tại thì tôi thấy ở nhiều xã/phường họ cũng làm thứ 7 chủ nhật nên chúng ta có thể đến đó để làm dịch vụ công </t>
  </si>
  <si>
    <t>Best Enterprise Logic, Best Reliability Mindset</t>
  </si>
  <si>
    <t>Nhóm 6</t>
  </si>
  <si>
    <t>Hệ thống AI tra cứu thủ tục hành chính cấp quốc gia</t>
  </si>
  <si>
    <t>Nêu rõ bối cảnh bài toán hợp lý để áp dụng AI ( phần bối cảnh)</t>
  </si>
  <si>
    <t>Trình bày và phản biện (trình bày hơi quá thời gian so với yêu cầu 3-5 phút , thực tế 10-15 phút)</t>
  </si>
  <si>
    <t>Tại sao cần chiến lược semantic caching trong dự án này khi mà database cố định không thay đổi</t>
  </si>
  <si>
    <t>Trợ lý cho vận hành ngân hàng nội bộ</t>
  </si>
  <si>
    <t>Trình bày rất mạch lạc, khá oinr</t>
  </si>
  <si>
    <t xml:space="preserve">Cần cải thiện về phần cost, cần tường minh hơn </t>
  </si>
  <si>
    <t xml:space="preserve">Tại sao chi phí vận hành lại thấp hơn so với bình thường như thế? </t>
  </si>
  <si>
    <t>Best Enterprise Logic, Best Critical Feedback</t>
  </si>
  <si>
    <t>Vinfast sale chatbot</t>
  </si>
  <si>
    <t>Hiểu nghiệp vụ và hiểu dữ liệu của vinfast -&gt; giải quyết được pain point của user</t>
  </si>
  <si>
    <t>Mình nghĩ với case này thì team nên có llm router phù hợp để route các câu hỏi tới Local LLM, và chia các case ra cụ thể hơn khi cần human in the loop</t>
  </si>
  <si>
    <t>Chatbot để sale thì hay, có thể hỗ trợ được nhưng mình nghĩ để chốt sale hoặc để khách hàng thực sự hiểu sản phẩm thì sẽ cần lái thử xe hoặc tiếp xúc trực tiếp với nhân viên thì mới tự tin để mua xe được, nhóm có cách nào giải quyết vấn đề này không?</t>
  </si>
  <si>
    <t>Chatbot sale Vinfast</t>
  </si>
  <si>
    <t>cost analysis làm kĩ, phù hợp product</t>
  </si>
  <si>
    <t>nên clone model decoder</t>
  </si>
  <si>
    <t>Ứng dụng chưa thay thế được sale thực tế?</t>
  </si>
  <si>
    <t>Zone 5</t>
  </si>
  <si>
    <t>Team 1</t>
  </si>
  <si>
    <t>Team 2</t>
  </si>
  <si>
    <t>AISA: Ai student advisor</t>
  </si>
  <si>
    <t>Có usecase cụ thể</t>
  </si>
  <si>
    <t>chi phí chưa clear, hoàn vốn trong 8-10 tháng là ko hợp lí vì mùa tuyển sinh rất nhanh, user chỉ dùng 1 lần</t>
  </si>
  <si>
    <t>dữ liệu mà dự án sử dụng sẽ thu thập qua đâu, các dữ liệu cần độ bảo mật sẽ bảo mật như thế nào</t>
  </si>
  <si>
    <t>AI Vinfast chatbot</t>
  </si>
  <si>
    <t>Kiến trúc hệ thống define tốt</t>
  </si>
  <si>
    <t>Nên sử dụng local LLM để cải thiện private</t>
  </si>
  <si>
    <t>Làm sao để đảo bảo tính bảo mật và chuẩn xác của thông tin</t>
  </si>
  <si>
    <t>Hệ thống AI tra cứu Thủ tục Hành chính cấp Quốc Gia</t>
  </si>
  <si>
    <t>Thuyết trình tốt, sản phẩm chỉn chu, thực tiễn cao</t>
  </si>
  <si>
    <t>Cần để ý, cải thiện thêm phần bảo mật</t>
  </si>
  <si>
    <t>Cần làm rõ logic đảm bảo giữ liệu nằm ở clould, server hay client</t>
  </si>
  <si>
    <t>Ai student advisor</t>
  </si>
  <si>
    <t>Giảm 70% công việc của người thật</t>
  </si>
  <si>
    <t>Giải pháp này thực sự giải quyết vấn đề gì</t>
  </si>
  <si>
    <t>E6</t>
  </si>
  <si>
    <t>E2</t>
  </si>
  <si>
    <t>Ý tưởng triển khai</t>
  </si>
  <si>
    <t>Đang bị chưa chính xác về phần tài chính</t>
  </si>
  <si>
    <t>Agent hỗ trợ giải đáp dữ liệu nội bộ ngân hàng</t>
  </si>
  <si>
    <t>Xây dựng kiến trúc rõ ràng, đã có chính sách dài hạn</t>
  </si>
  <si>
    <t>Phần deployment nên rõ ràng hơn để tối ưu chi phí deploy</t>
  </si>
  <si>
    <t>Các metric đánh giá chatbot là gì</t>
  </si>
  <si>
    <t>AI Student Card 3</t>
  </si>
  <si>
    <t>Chưa có</t>
  </si>
  <si>
    <t>Cần thực tế hơn</t>
  </si>
  <si>
    <t>Chi phí có đúng với thực tế</t>
  </si>
  <si>
    <t>AI student advisor</t>
  </si>
  <si>
    <t>Bài toán có paint point thực tế,  tác động kinh doanh rõ ràng</t>
  </si>
  <si>
    <t xml:space="preserve">Trình bày về cost chưa logic </t>
  </si>
  <si>
    <t>Dựa vào đâu để xác định giảm tải công việc 70% và khả năng hoàn vốn từ 8-10 tháng</t>
  </si>
  <si>
    <t>Nhóm 8</t>
  </si>
  <si>
    <t>ChainFSL Architecture</t>
  </si>
  <si>
    <t>Thuyết trình tốt, sử dụng kiến thức kĩ thuật để triển khai ra một hệ thống tốt</t>
  </si>
  <si>
    <t>Chưa làm rõ cost</t>
  </si>
  <si>
    <t>Các node hoạt động độc lập hay song song</t>
  </si>
  <si>
    <t>Trợ lý hỗ trợ tìm kiếm lộ trình - VinBus</t>
  </si>
  <si>
    <t xml:space="preserve">Thông tin số liệu chính xác </t>
  </si>
  <si>
    <t>Cần cải thiện thêm feature khác vs các chatbot thông thường</t>
  </si>
  <si>
    <t xml:space="preserve">Tsao lại ý tưởng tích hợp chatbot trong khi các app map đang làm tốt? </t>
  </si>
  <si>
    <t>Best Enterprise Logic, Best Cost Thinking, Best Track Recommendation, Best Critical Feedback</t>
  </si>
  <si>
    <t>Vinbus route chatbot</t>
  </si>
  <si>
    <t>Có track realtime</t>
  </si>
  <si>
    <t>Motivation, impact chưa quá ý nghĩa</t>
  </si>
  <si>
    <t>Có gì mới so với các app hiện tại?</t>
  </si>
  <si>
    <t>Bank Operation Copilot</t>
  </si>
  <si>
    <t>Có kiến trúc rõ ràng, có kế hoạch triển khai dài hạn</t>
  </si>
  <si>
    <t>Nên có kế hoạch về chi phí dài hạn hơn nữa</t>
  </si>
  <si>
    <t>Nhóm đã thêm những metric nào để tăng độ reliability của chatbot?</t>
  </si>
  <si>
    <t>Trợ Lý hỗ trợ vận hành ngân hàng nội bộ</t>
  </si>
  <si>
    <t xml:space="preserve">Cải thiện phần chi phí, chưa làm rõ được </t>
  </si>
  <si>
    <t>Cách bảo mật dữ liệu nội bộ của các bạn có gì đặc biệt</t>
  </si>
  <si>
    <t>Trợ lý tìm đường Vin Bus</t>
  </si>
  <si>
    <t>Cost (Nếu chỉ tập trung Việt Nam thì có thể giảm cost bằng thông tin bus của Việt Nam vừa chi tiết hơn vừa tốt hơn google Maps)</t>
  </si>
  <si>
    <t>Chatbot để làm gì. Khi nếu có 10 điểm thì cũng không mất quá nhiều thời gian</t>
  </si>
  <si>
    <t>Best Enterprise Logic, Best Cost Thinking, Best Critical Feedback</t>
  </si>
  <si>
    <t>ChainFSL Architecture - hạ tầng AI phi tập trung cho y tế</t>
  </si>
  <si>
    <t>đề tài thú vị, trình bày tốt và đầy đủ lý thuyết, thông tin chi tiết, có chiều sâu</t>
  </si>
  <si>
    <t>chi phí tính toán cho bảo mật rất cao - dự án này cần phải chỉnh sửa cost cho chính xác hơn</t>
  </si>
  <si>
    <t>làm sao hệ thống xử lý được tình trạng nghẽn mạng blockchain và đảm bảo độ chính xác của AI khi số lượng bệnh viện lớn</t>
  </si>
  <si>
    <t>Ý tưởng mới, đào sâu vào lõi mô hình</t>
  </si>
  <si>
    <t>Kế hoạch triển khai chưa đủ đáng tin cậy, ở mức nghiên cứu</t>
  </si>
  <si>
    <t>Bank</t>
  </si>
  <si>
    <t>Trình bày rõ ràngc giọng hay, scale tốt, tối ưu chi phí</t>
  </si>
  <si>
    <t xml:space="preserve">Tính cost cụ thể như nào? Bảo mật như nào???? </t>
  </si>
  <si>
    <t>Hiểu rõ bài toán, có thể thuyết trình và phản biện lưu loát</t>
  </si>
  <si>
    <t>Reliability</t>
  </si>
  <si>
    <t>Thắc mắc vì sao cần redact những thông tin như “ly hôn, sinh con” -&gt; redact thông tin không cần thiết gây tổn thất chi phí.
Không chọn cloud nước ngoài mà chọn cloud region VN vì lí do bảo mật -&gt; lý do?</t>
  </si>
  <si>
    <t>Trợ lý ảo xanh SM</t>
  </si>
  <si>
    <t>Làm rõ được use case, trình bày mạch lạc</t>
  </si>
  <si>
    <t>Cần cải thiện về cost, vì với ước tính như thế thì rất khó để thành công trong dự án</t>
  </si>
  <si>
    <t>Cách bảo mật dữ liệu cho tài xế XanhSM</t>
  </si>
  <si>
    <t>Vinbus Route Chatbot</t>
  </si>
  <si>
    <t>Deployment không khả thi</t>
  </si>
  <si>
    <t>Liệu có ứng dụng thực tế</t>
  </si>
  <si>
    <t>Kiến trúc rõ ràng, slide clear</t>
  </si>
  <si>
    <t>cost, chưa clear vì chi phí mvp và chi phí production chưa kỹ</t>
  </si>
  <si>
    <t>nguồn dữ liệu thu thập sẽ triển khai như thế nào</t>
  </si>
  <si>
    <t>Best Enterprise Logic, Best Cost Thinking, Best Track Recommendation</t>
  </si>
  <si>
    <t xml:space="preserve">Nhóm có tiếp cận theo huớng nghiên cứu công nghệ chuyên sâu, tìm hiểu rõ lý thuyết, hạn chế và có báo support </t>
  </si>
  <si>
    <t>Đề tài của nhóm theo huớng triển khai kỹ thuật công nghệ chuyên sâu, vuợt quá phạm vi của nhóm chấm điểm nên chưa có nhận xét</t>
  </si>
  <si>
    <t xml:space="preserve"> </t>
  </si>
  <si>
    <t>Hópital support</t>
  </si>
  <si>
    <t>Số liệu thực tế</t>
  </si>
  <si>
    <t xml:space="preserve">Tính token cần kỹ hơn, thiếu chi phí con người </t>
  </si>
  <si>
    <t>Quy trình tính token</t>
  </si>
  <si>
    <t>AI cho bệnh viện</t>
  </si>
  <si>
    <t>Có định hướng kỹ thuật rõ ràng</t>
  </si>
  <si>
    <t>Cần nêu rõ phần cost</t>
  </si>
  <si>
    <t>Làm sao đảm bảo quyền riêng tư của bệnh nhân?</t>
  </si>
  <si>
    <t>E3</t>
  </si>
  <si>
    <t xml:space="preserve">Hỗ trợ sinh viên </t>
  </si>
  <si>
    <t xml:space="preserve">Có thể tối ưu được chi phí và nhân lực </t>
  </si>
  <si>
    <t xml:space="preserve">Trong mvp không cần triển khai task quá nặng </t>
  </si>
  <si>
    <t>Y tế</t>
  </si>
  <si>
    <t>Bối cảnh dễ hiểu (phần bối cảnh)</t>
  </si>
  <si>
    <t>Tính toán chi phí và luồng hệ thống còn chưa rõ ràng (phần cost)</t>
  </si>
  <si>
    <t>Phần thuyết trình nên nêu rõ giả định chi phí tốn bao nhiêu và khi tối ưu giảm còn bao nhiêu</t>
  </si>
  <si>
    <t>University admissions &amp; student support agent</t>
  </si>
  <si>
    <t>Kiến trúc hybird</t>
  </si>
  <si>
    <t>Mvp chưa hợp lý</t>
  </si>
  <si>
    <t>Về chi phí hoàn thành dự án</t>
  </si>
  <si>
    <t>UniAdmin AI</t>
  </si>
  <si>
    <t>Trình bày rõ ràng, slide minh họa tốt</t>
  </si>
  <si>
    <t>Không xác định cụ thể ROI của sản phẩm là gì</t>
  </si>
  <si>
    <t>Bạn có tham khảo chi phí bảo trì của các dự án AI tương tự như dự án bạn chưa?</t>
  </si>
  <si>
    <t>UniAdminAI</t>
  </si>
  <si>
    <t>Trình bày và trả lời mạch lạc, phần cost tính cụ thể</t>
  </si>
  <si>
    <t>Phần kiến trúc, data chưa trình bày chi tiết</t>
  </si>
  <si>
    <t>Khả năng triển khai thực tế như thế nào, kiến trúc hệ thống có đáp</t>
  </si>
  <si>
    <t xml:space="preserve">Agent tuyển sinh và hỗ trợ sinh viên </t>
  </si>
  <si>
    <t>Cơ chế phục hồi , hệ thống có nhiều giải pháp lúc gặp sự cố, sập API</t>
  </si>
  <si>
    <t>Cost cao, thật sự cần thiết để sử dụng hỗ trợ cho tân sinh viên hay không</t>
  </si>
  <si>
    <t>Agent này có thật sự thiết thực hay không, tại vì có thể dùng FAQ...</t>
  </si>
  <si>
    <t>Hỗ trợ sinh viên</t>
  </si>
  <si>
    <t>3 lớp tối ưu chuyên biệt thiết kế rõ ràng, phân chia công việc cụ thể</t>
  </si>
  <si>
    <t>Mvp không cần triển khai stack quá nặng</t>
  </si>
  <si>
    <t>Cost của nhóm bạn có chi phí ẩn nhưng những chi phí ẩn đấy thì có thay đổi không và có cách nào giảm không</t>
  </si>
  <si>
    <t>Best Cost Thinking, Best Reliability Mindset, Best Track Recommendation</t>
  </si>
  <si>
    <t>ChainFSL</t>
  </si>
  <si>
    <t>Kien truc trien khai</t>
  </si>
  <si>
    <t>Cost optimization</t>
  </si>
  <si>
    <t>Các node có phải trigger training cùng lúc ko</t>
  </si>
  <si>
    <t>Best Reliability Mindset, Best Track Recommendation</t>
  </si>
  <si>
    <t>AI Agent tuyển sinh và hỗ trợ sinh viên</t>
  </si>
  <si>
    <t>solution về cost opti tốt</t>
  </si>
  <si>
    <t>chưa nói rõ về scalling</t>
  </si>
  <si>
    <t>Trợ lý AI hộ trợ lâm sáng bệnh viện</t>
  </si>
  <si>
    <t>Team trình bày rõ ràng. Ý tưởng tốt</t>
  </si>
  <si>
    <t>Team cân cải thiện phần flow của hệ thống</t>
  </si>
  <si>
    <t>Tính khả thi thì của Ý tưởng. Roi có cáo không.</t>
  </si>
  <si>
    <t>Best Enterprise Logic, Best Cost Thinking, Best Reliability Mindset, Best Critical Feedback</t>
  </si>
  <si>
    <t>Trợ lý AI Hỗ trợ Lâm sàng Bệnh viện</t>
  </si>
  <si>
    <t>Có idea tốt trong việc áp dụng Agent vào trong chuẩn đoán bệnh lâm sàng</t>
  </si>
  <si>
    <t>Nên dùng con AI xịn hơn để chuẩn đoán bệnh, nếu mà chuẩn đoán bệnh sai thì là 1 rủi ro cũng như tổn thất lớn đói với bệnh viện và người nhà bệnh nhân</t>
  </si>
  <si>
    <t>Agent này support cho một bệnh viện hay là cho nhiều bệnh viện khác, và nếu như mà con AI nó chuẩn đoán bệnh sai thì sao</t>
  </si>
  <si>
    <t>AI Agent hỗ trợ tuyển sinh</t>
  </si>
  <si>
    <t>Trình bày chi tiết cụ thể các mục trong yêu cầu: Bối cảnh, Cost, Kiến trúc, Scale</t>
  </si>
  <si>
    <t>Về phần cost còn khá chung chung, 300-500 đô một tháng chưa bóc cost ra từng phần chi tiết</t>
  </si>
  <si>
    <t>Có nhất thiết phải dùng Chatbot khi hầu hết tất cả các trang web tuyển sinh đều chứa đủ thông tin public và FAQ đầy đủ</t>
  </si>
  <si>
    <t>AI Agent tuyển sinh &amp; hỗ trợ sinh viên</t>
  </si>
  <si>
    <t>Nhóm có slide trình bày rõ ràng, cụ thể, thể hiện rõ ý tưởng của nhóm, các phần khác đều nằm ở mức chung chung, chưa có ấn tượng nhiều</t>
  </si>
  <si>
    <t>Phần mở rộng hệ thống (scaling), vì nhóm chưa trình bày rõ phần này cũng như chưa đưa ra một chiến lược cụ thể</t>
  </si>
  <si>
    <t>Nhóm chưa trình bày rõ về vấn đề scale, mình muốn hỏi nhóm định hướng phần mở rộng hệ thống như thế nào?</t>
  </si>
  <si>
    <t>Nhóm 7</t>
  </si>
  <si>
    <t xml:space="preserve">Vinmec Enterprise Readiness review </t>
  </si>
  <si>
    <t>Trình bày rõ ràng, đủ nội dung, nêu rõ được cấu trúc sử dụng</t>
  </si>
  <si>
    <t>Cải thiện thêm vểtack</t>
  </si>
  <si>
    <t xml:space="preserve">Nếu user tăng lên 5x lần thì chi phí nào sẽ tăng mạnh </t>
  </si>
  <si>
    <t>Vinmec Maternity Chatbot</t>
  </si>
  <si>
    <t>nhóm trình bày đủ tiêu chí</t>
  </si>
  <si>
    <t>cost analysis còn thiếu Growth</t>
  </si>
  <si>
    <t>Best Track Recommendation</t>
  </si>
  <si>
    <t>VinMec Matenty Chatbot</t>
  </si>
  <si>
    <t>Thuyết trình hay, slide rõ ràng đầy đủ nội dung. Có những usecase thực tế phù hợp</t>
  </si>
  <si>
    <t>Độ phức tạp trong bảo trì</t>
  </si>
  <si>
    <t>Hospital clinic support assistant</t>
  </si>
  <si>
    <t>Nghiên cứu cost kĩ</t>
  </si>
  <si>
    <t>Reliability cần chi tiết hơn.</t>
  </si>
  <si>
    <t>Chưa có.</t>
  </si>
  <si>
    <t>VinmecCare AI Agent</t>
  </si>
  <si>
    <t>Có tracing cụ thể và token caching, giúp dễ quản lý cost, có demo</t>
  </si>
  <si>
    <t>Mặc dù có guardrail nhưng không giải thích được kĩ về các layer của guardrail đó làm gì</t>
  </si>
  <si>
    <t xml:space="preserve">Nếu người dùng spam đặt phòng thì chống kiểu gì? </t>
  </si>
  <si>
    <t>E4</t>
  </si>
  <si>
    <t xml:space="preserve">Tư vấn xe </t>
  </si>
  <si>
    <t xml:space="preserve">Logic chi tiết </t>
  </si>
  <si>
    <t>Vinmec</t>
  </si>
  <si>
    <t>hybrid thông minh và tối ưu chi phí rõ ràng, xử lý rủi ro tốt</t>
  </si>
  <si>
    <t>phụ thuộc vào LLM =&gt; rủi ro về dữ liệu cá nhân
phức tạp cho bảo trì</t>
  </si>
  <si>
    <t>giải quyết bài toán cache invalidation thế nào để tránh chatbot trả về thông tin giá cả cũ cho người dùng</t>
  </si>
  <si>
    <t>Team 4</t>
  </si>
  <si>
    <t>Vinfast car selling ai consultant</t>
  </si>
  <si>
    <t>Use case cụ thể, có thiết kế hạ tầng</t>
  </si>
  <si>
    <t>deployment, chưa có nội dung về nếu dữ liệu mới vào thì làm sao biết dữ liệu nào là dữ liệu mới, vector database sẽ update lại hoàn toàn hay thêm dữ liệu mới vào thôi</t>
  </si>
  <si>
    <t>về cập nhập dữ liệu thời gian thực thì nếu dữ liệu mới vào thì làm sao mà phân tích giá mới giá cũ, lưu vào vector database thì ghi đè hay ghi mới.</t>
  </si>
  <si>
    <t>Chatbot  tư vấn cho Vinfast</t>
  </si>
  <si>
    <t>Trinh bày rõ về bài toán của doanh nghiệp</t>
  </si>
  <si>
    <t>cost</t>
  </si>
  <si>
    <t>ROI như thế nào</t>
  </si>
  <si>
    <t>VinFast Car Selling AI Consultant</t>
  </si>
  <si>
    <t>Cơ chế chịu tải</t>
  </si>
  <si>
    <t>Chưa có cost analysis</t>
  </si>
  <si>
    <t>Mặc dù chưa đưa ra product nhưng nên có cost analysis</t>
  </si>
  <si>
    <t>Chatbot hỗ trợ tư vấn bán xe</t>
  </si>
  <si>
    <t>Chiến lược tối ưu hóa chi phí tốt, dùng bộ nhớ đệm để tiết kiệm chi phí llm</t>
  </si>
  <si>
    <t>Làm sao để quản lý Realtime tồn kho</t>
  </si>
  <si>
    <t>Liệu khi khách ưng xe mà muốn đến showroom thì sẽ phân chia cho ai là người đón khách</t>
  </si>
  <si>
    <t xml:space="preserve">Hospital Support Assistant </t>
  </si>
  <si>
    <t>Có kiến trúc chi tiết</t>
  </si>
  <si>
    <t>Slide chữ hơi nhỏ</t>
  </si>
  <si>
    <t>Phân quyền tương tác chatbot như thế nào, tạo ra các chatbot khác nhau hay là một và cho nó tự nhận diện</t>
  </si>
  <si>
    <t>Kien truc he thong</t>
  </si>
  <si>
    <t>Cost</t>
  </si>
  <si>
    <t>Nhu cau thuc te cua san pham như the nao</t>
  </si>
  <si>
    <t>GIẢI PHÁP AI ASSISTANT HỖ TRỢ TUYỂN SINH ĐẠI HỌC</t>
  </si>
  <si>
    <t>Rõ pain point</t>
  </si>
  <si>
    <t>Cost token, hạ tầng cao, nên cân đối lại với nhiệm vụ hỗ trợ tân sv.</t>
  </si>
  <si>
    <t>Nếu giữa chừng nhà trường thay đổi quy định hoặc có thay đổi về lịch tập trung, nộp hồ sơ... Thì làm gì để agent cập nhật nhanh nhất thông tin cho sinh viên.</t>
  </si>
  <si>
    <t>AI copilot tư vấn gói thai sản Vinmec</t>
  </si>
  <si>
    <t xml:space="preserve">Dự án có ý nghĩa </t>
  </si>
  <si>
    <t>Reliability cần được chú trọng hơn vì liên quan đến con người</t>
  </si>
  <si>
    <t>Hospital Clinical Support assistant</t>
  </si>
  <si>
    <t>Tính cost rõ ràng có cơ sở</t>
  </si>
  <si>
    <t>Reliability cần cải thiện</t>
  </si>
  <si>
    <t>Độ tin cậy đựa vào đâu</t>
  </si>
  <si>
    <t>Trợ lý AI hỗ trợ lâm sàng bệnh viện</t>
  </si>
  <si>
    <t>Phản biện linh hoạt</t>
  </si>
  <si>
    <t>Có lẽ bài toán này chưa đủ thoả mãn, hỗ trợ bác sĩ đọc bệnh án bệnh nhân bằng cách highlight một số điểm trên bệnh án? Bác sĩ vừa phải đọc lại bệnh án, vừa dễ gặp thiên kiến bỏ qua những điểm không được highlight. Tuy nhiên đây là một sản phẩm triển vọng</t>
  </si>
  <si>
    <t>Thuyết trình chưa tốt. Pain point chưa đủ đau</t>
  </si>
  <si>
    <t xml:space="preserve">Hospital Clinical Support Assistant </t>
  </si>
  <si>
    <t>Có bảng tính toán chi phí cụ thể và chuyên nghiệp.</t>
  </si>
  <si>
    <t>Slide và bảng tính hơi khó nhìn.</t>
  </si>
  <si>
    <t>Nhóm đã có phương pháp nào để ngăn chặn và xử lý hallucination xảy ra khi tóm tắt bệnh án?</t>
  </si>
  <si>
    <t>Admission AI agent</t>
  </si>
  <si>
    <t>Phản biện</t>
  </si>
  <si>
    <t>Quy trình cập nhật knowledge base</t>
  </si>
  <si>
    <t>Quy trình cập nhật knowledge base là gì?</t>
  </si>
  <si>
    <t>Smart SOP &amp; Maintenance assistant</t>
  </si>
  <si>
    <t>Ý tưởng hay</t>
  </si>
  <si>
    <t>phần bài toán và bối cảnh cần làm rõ hơn</t>
  </si>
  <si>
    <t>Manufacturing Maintenance Copilot</t>
  </si>
  <si>
    <t>Thực tiễn, đầy đủ</t>
  </si>
  <si>
    <t>Deployment chưa cụ thể</t>
  </si>
  <si>
    <t>Best Cost Thinking, Best Reliability Mindset, Best Critical Feedback</t>
  </si>
  <si>
    <t>Adminssion ai Assistant agent tuyển sinh</t>
  </si>
  <si>
    <t>định nghĩa rõ câu hỏi, nhóm khách hàng.</t>
  </si>
  <si>
    <t>deployment pipeline chưa rõ ràng, chưa nêu rõ các bước tiền xử lý</t>
  </si>
  <si>
    <t>cần nêu rõ pipeline triển khai</t>
  </si>
  <si>
    <t>VinUni Adminssions Agent</t>
  </si>
  <si>
    <t>Trình bày rõ ràng, dễ hiểu.</t>
  </si>
  <si>
    <t>Reliability, deployment. Hiện tại data mới vẫn đang chưa có luồng tự động update.</t>
  </si>
  <si>
    <t>Số lượng câu hỏi request đến hệ thông của nhà trường là nhóm tự ước lượng hay dẫn chứng ở đâu tìm ra số lượng này?
Việc cập nhật update data mới diễn ra như thế nào?</t>
  </si>
  <si>
    <t>Trợ lý tư vấn tuyển sinh cho Vinschool</t>
  </si>
  <si>
    <t>Triển khai trong sinh thái Vin</t>
  </si>
  <si>
    <t>Mô hình còn đơn giản chưa cập nhật</t>
  </si>
  <si>
    <t>Trợ lý AI tư vấn tuyển sinh Vinschool</t>
  </si>
  <si>
    <t>tính thực tiễn cao, phát hiện được đúng cost thực sự</t>
  </si>
  <si>
    <t>bổ sung con số thực tế về traffic hoặc nhân sự từ các trường đại học thực tế</t>
  </si>
  <si>
    <t>agent của nhóm xử lý thế nào khi thí sinh hỏi thông tin chưa có trong knowledge base - ví dụ như nếu điểm chuẩn năm nay chưa được công bố</t>
  </si>
  <si>
    <t>AI Agent tuyển sinh và Hỗ trợ sinh viên</t>
  </si>
  <si>
    <t>Chiến lược tối ưu hoá chi phí thông minh, chia làm 3 lớp hợp lý có sự cân nhắc kĩ lưỡng mà vẫn đảm bảo chất lượng câu trả lời chính xác.</t>
  </si>
  <si>
    <t>Cần cải thiện thêm chi phí triển khai, vì trường học thường có kinh phí khá eo hẹp, tri phí đã tối ưu khá tốt nhưng vẫn khá khó khăn để triển khai trên diện rộng.</t>
  </si>
  <si>
    <t>Chi phí như vậy thì có khả năng triển khi trên diện rộng không, những trường như nào sẽ phù hợp tích hợp hệ thống của bạn</t>
  </si>
  <si>
    <t xml:space="preserve">Nhóm 6 </t>
  </si>
  <si>
    <t>Admission AI Assitant</t>
  </si>
  <si>
    <t>Bối cảnh sdung rõ ràng, cost opti hợp lý</t>
  </si>
  <si>
    <t>Cần thuyết trình to rõ hơn</t>
  </si>
  <si>
    <t>Trình bày rõ ràng rành mạch</t>
  </si>
  <si>
    <t>Cost cần tính rõ hơn</t>
  </si>
  <si>
    <t>Maintain copilot</t>
  </si>
  <si>
    <t>Dự án thân thiện, phổ biến</t>
  </si>
  <si>
    <t>Cost chưa rõ ràng</t>
  </si>
  <si>
    <t>Chatbot tư vấn tuyển sinh Vinschool</t>
  </si>
  <si>
    <t>bài toán rõ ràng</t>
  </si>
  <si>
    <t>làm rõ hơn về scaling</t>
  </si>
  <si>
    <t>E5</t>
  </si>
  <si>
    <t>Hệ thống giám sát hệ sinh thái vinhome</t>
  </si>
  <si>
    <t>Ý tưởng mới lạ khá hay</t>
  </si>
  <si>
    <t>Phân tích chính xác nhất về địa hình từ vệ tinh</t>
  </si>
  <si>
    <t xml:space="preserve">VinmecCare Ai Agent </t>
  </si>
  <si>
    <t xml:space="preserve">Thuyết trình tốt, trả lời được các câu hỏi về sản phẩm </t>
  </si>
  <si>
    <t>Nên cải thiện phần truongw hợp khi có SOS (cấp cứu)</t>
  </si>
  <si>
    <t>Khi gặp triệu chứng nguy hiểm, nó có đưa phương pháp khẩn cấp gì ?</t>
  </si>
  <si>
    <t xml:space="preserve">Nhóm 11 </t>
  </si>
  <si>
    <t>Manufactoring maintenance copilot</t>
  </si>
  <si>
    <t>Cơ chế fallback thông minh, lộ trình thực tế</t>
  </si>
  <si>
    <t>Chi phí phần cứng, thách thức về dữ liệu legacy, sử dụng OCR sẽ khó khăn hơn nhiều so với dự tính</t>
  </si>
  <si>
    <t>nếu dùng cloud cho các yêu cầu phức tạp, bạn làm thế nào để đồng hóa kiến thức giữa các local node ở các nhà máy khác nhau để đảm bảo tính thống nhất</t>
  </si>
  <si>
    <t>Hệ thống đã bao quát được nhiều các vấn đề quan trọng, đảm bảo MVP xử lý tốt.</t>
  </si>
  <si>
    <t>Cần phải lưu thông tin cache cho follow up prompt, chatbot hiện tại không nhớ thông tin của câu trước đó</t>
  </si>
  <si>
    <t>Hệ thống sẽ xử lý PII như thế nào? 
Database của bệnh viện có chia thành nhiều khoa không? Mỗi khoa có những phòng nào?</t>
  </si>
  <si>
    <t>Best Enterprise Logic, Best Track Recommendation</t>
  </si>
  <si>
    <t>Nhom 1</t>
  </si>
  <si>
    <t>Nhom 6</t>
  </si>
  <si>
    <t>Tu van tuyen sinh vinschool</t>
  </si>
  <si>
    <t>Trinh bay</t>
  </si>
  <si>
    <t>Scaling</t>
  </si>
  <si>
    <t>Monitoring?</t>
  </si>
  <si>
    <t>Hỗ trợ học tập (mất tập trung)</t>
  </si>
  <si>
    <t xml:space="preserve">Hỗ trợ học tập tốt </t>
  </si>
  <si>
    <t>Phân tích tối ưu hơn về mất tập trung</t>
  </si>
  <si>
    <t>Vinuni Admissons Agent</t>
  </si>
  <si>
    <t>Thêm tính năng lạ hơn</t>
  </si>
  <si>
    <t xml:space="preserve">Zone 2 </t>
  </si>
  <si>
    <t>Phần cost tối ưu chi phí được trình bày rõ ràng, chạy local, chỉ chạy cloud khi cần thiết</t>
  </si>
  <si>
    <t>Nhóm có thể đưa thêm ví dụ minh hoạ để làm rõ usecase người dùng do đặc trưng của manufacturer thiên về con người vận hành với máy móc</t>
  </si>
  <si>
    <t>Usecase cụ thể của nhóm trong doanh nghiệp là gì</t>
  </si>
  <si>
    <t>AI Adm Assistant</t>
  </si>
  <si>
    <t>Tối ưu chi phí</t>
  </si>
  <si>
    <t>Số liệu cần sát thực tế hơn</t>
  </si>
  <si>
    <t xml:space="preserve">Khả năng mở rộng cần kỹ hơn </t>
  </si>
  <si>
    <t>Security Checkpoint Schematic tốt, bảo vệ dữ liệu người dùng</t>
  </si>
  <si>
    <t>Tối ưu chi phí còn khá cao</t>
  </si>
  <si>
    <t xml:space="preserve">Nhiều khi có những câu hỏi đơn giản tại sao không thông qua nhân viên mà phải hỏi AI để cho tốn token những câu đơn giản </t>
  </si>
  <si>
    <t>AI admission assistant</t>
  </si>
  <si>
    <t xml:space="preserve">Cost </t>
  </si>
  <si>
    <t>Trợ lý hỗ trợ tuyển sinh thông minh - AI Admission Assistant</t>
  </si>
  <si>
    <t>Slide rõ ràng</t>
  </si>
  <si>
    <t>Thiếu tập trung, chưa cụ thể bối cảnh, chi phí</t>
  </si>
  <si>
    <t xml:space="preserve">Target user của nhóm bạn là gì? </t>
  </si>
  <si>
    <t>Site Selection for Vinhomes projects</t>
  </si>
  <si>
    <t>Use case rõ ràng, kiến trúc cụ thể</t>
  </si>
  <si>
    <t>cost, chi phí duy trì công nghệ chưa clear vì cần rất nhiều tools trong kiến trúc để tính toán giá đất thực tế</t>
  </si>
  <si>
    <t>nhóm ko có câu hỏi nào ạ</t>
  </si>
  <si>
    <t>Nhom 5</t>
  </si>
  <si>
    <t>Vinuni admission agent</t>
  </si>
  <si>
    <t>Cost analysis</t>
  </si>
  <si>
    <t>Monitoring</t>
  </si>
  <si>
    <t>Khac gi so voi tu van tuyen sinh vinschool</t>
  </si>
  <si>
    <t>Bank Operations Copilot: Từ Mô Hình Thử Nghiệm Đến Kiến Trúc Enterprise  Tũ Nghiệm Đến Kiến Trúc Enterprise</t>
  </si>
  <si>
    <t>Chưa ấn tượng</t>
  </si>
  <si>
    <t>Cost cho những câu hỏi đơn giản lại tốn kém không đáng có</t>
  </si>
  <si>
    <t>Tại sao những task đơn giản lại phải tốn tiền gọi API trong khi ko training cho nhân viên phản hồi</t>
  </si>
  <si>
    <t>Manufacching mainteannce copilot</t>
  </si>
  <si>
    <t>Mvp tốt</t>
  </si>
  <si>
    <t>Cần tính chi phí kỹ hơn</t>
  </si>
  <si>
    <t>Dữ liệu human lấy ở đâu</t>
  </si>
  <si>
    <t>Có model thể hiện hạ tầng và chi phí</t>
  </si>
  <si>
    <t>Không có insight domain nên bài toán chưa thực tế lắm</t>
  </si>
  <si>
    <t>Vì sao không dùng chi phí để training nhân viên mà lại build chatbot, cái nào lợi hơn?</t>
  </si>
  <si>
    <t>Hệ thống giám sát hệ sinh thái ai</t>
  </si>
  <si>
    <t>Làm rõ tiêu chí đánh giá về quỹ đất</t>
  </si>
  <si>
    <t>Làm rõ workflow</t>
  </si>
  <si>
    <t xml:space="preserve">VinFast Chatbot </t>
  </si>
  <si>
    <t>Slide trình bày đẹp, các tiêu chí rõ ràng</t>
  </si>
  <si>
    <t>Chữ slide nhiều, các chỉ số chỉ mang tính khoảng cách chứ không có con số cụ thể</t>
  </si>
  <si>
    <t>Ứng dụng giúp gì cho sale xe???</t>
  </si>
  <si>
    <t>Best Enterprise Logic, Best Track Recommendation, Best Critical Feedback</t>
  </si>
  <si>
    <t>Bản thiết kế trợ lý y tế AI</t>
  </si>
  <si>
    <t>Slide đẹp mắt</t>
  </si>
  <si>
    <t>Deployment kỹ hơn</t>
  </si>
  <si>
    <t>Số liệu tính chi phí ở đâu</t>
  </si>
  <si>
    <t>AI Assistant tư vấn xe VinFast</t>
  </si>
  <si>
    <t>Trình bày khá rõ ràng, các tiêu chí đều rất cụ thể</t>
  </si>
  <si>
    <t>Use case chưa thật sự rõ ràng</t>
  </si>
  <si>
    <t>Điểm mạnh của sản phẩm này so với các sản phẩm khác, hoặc là so với chính sales man luôn</t>
  </si>
  <si>
    <t>Banking operation Copilot</t>
  </si>
  <si>
    <t>phân tích chi phí</t>
  </si>
  <si>
    <t>bối cảnh, bài toán giải quyết chưa phù hợp với thực tế</t>
  </si>
  <si>
    <t>bối cảnh thực tế, platform thật sự có cần thiết trong bối cảnh đó và cần thiết cho doanh nghiệp triển khai không?</t>
  </si>
  <si>
    <t>Bank operation copilot</t>
  </si>
  <si>
    <t>Tính toán chi phí hợp lý( cost)</t>
  </si>
  <si>
    <t>Chưa nắm rõ quy trình, luồng của dự án thực tế ( reliability)</t>
  </si>
  <si>
    <t>Tại sao nhân viên trong công ty cần hỏi lại chat các tác vụ cơ bản để tốn cost trong khi nhân viên đã được training và cần phải biết rõ nghiệp vụ khi vào làm việc rồi</t>
  </si>
  <si>
    <t>Hệ thống giám sát hệ sinh thái AI</t>
  </si>
  <si>
    <t>3 chiến lược tối ưu được phân tích rõ ràng, bám sát với thực tiễn</t>
  </si>
  <si>
    <t>Demo chưa tập trung vào quỹ đất mà phát triển tính năng mở rộng xem thông tin dân số, diện tích, gdp,...</t>
  </si>
  <si>
    <t xml:space="preserve">Việc phân tích giá trị quỹ đất cao hay thấp dựa trên các thông số có sẵn ở địa phương thì liệu có cần thiết sử dụng AI hay không </t>
  </si>
  <si>
    <t>Vinfast AI</t>
  </si>
  <si>
    <t>Giải thích tốt, bám theo câu hỏi, phản biện thuyết phục</t>
  </si>
  <si>
    <t>Liên quan đến trình bày: bố cục slide chưa hợp lý, chữ hơi nhỏ</t>
  </si>
  <si>
    <t>Khi VinFast công bố mẫu xe mới, mất bao lâu để cập nhật? Hệ thống có hỗ trợ thông tin tra cứu hóa đơn mua xe từ người dung?</t>
  </si>
  <si>
    <t>Vinhome Geo System</t>
  </si>
  <si>
    <t>Bài toán có kỹ thuật khá hay và đa dạng</t>
  </si>
  <si>
    <t>Chưa thực sự rõ ROI, phức tạp quá mức cần thiết</t>
  </si>
  <si>
    <t>Tính ứng dụng thực tế liệu có đáng để triển khai?</t>
  </si>
  <si>
    <t>Trợ lý hỗ trợ tuyển sinh</t>
  </si>
  <si>
    <t>trình bày tốt ý tưởng tốt</t>
  </si>
  <si>
    <t>reliability cần cải thiện</t>
  </si>
  <si>
    <t>hệ thống có khả thi trong triển khai thực tế</t>
  </si>
  <si>
    <t>Placeholder</t>
  </si>
  <si>
    <t>Slide đẹp, hạ tầng ổn định có khả năng chịu lỗi tốt</t>
  </si>
  <si>
    <t xml:space="preserve">Cost còn mang tính ước lượng </t>
  </si>
  <si>
    <t>Hãy so sánh việc tự triển khai hệ thống với việc thuê dịch vụ bên thứ ba</t>
  </si>
  <si>
    <t>EcoSense</t>
  </si>
  <si>
    <t>usecase clear, có kiến trúc cụ thể</t>
  </si>
  <si>
    <t xml:space="preserve">cost ở mức dự đoán, chưa có cost thực tế cho các tool </t>
  </si>
  <si>
    <t>các chỉ số để tính thì sẽ thu thập từ các bên nào, có uy tín để đánh giá ko</t>
  </si>
  <si>
    <t>Ecosense</t>
  </si>
  <si>
    <t>Reliability plan</t>
  </si>
  <si>
    <t>Về cơ chế reliability</t>
  </si>
  <si>
    <t>AI chat nội bộ</t>
  </si>
  <si>
    <t>Slide đầy đủ thông tin</t>
  </si>
  <si>
    <t>Cost chưa cung cấp cụ thể con số và nguồn</t>
  </si>
  <si>
    <t>Ứng dụng có thực sự cần thiết không?</t>
  </si>
  <si>
    <t>Paint point rõ ràng, giải pháp hợp lý, người dùng cụ thể, bóc tách chi phí khá sâu và rõ ràng.</t>
  </si>
  <si>
    <t>Failure scenarios còn ít chưa phủ hết, đủ bao quát. Chi phí tối ưu chưa thật sự tốt, còn khá cao so với khả năng chi trả của nhiều trường.</t>
  </si>
  <si>
    <t>Nhóm bạn có chiến lược tối yêu nào khác k, hiện tại vẫm chưa đủ tối ưu</t>
  </si>
  <si>
    <t>AI Voice Agent Xanh SM</t>
  </si>
  <si>
    <t>Khả thi khi người già sử dụng</t>
  </si>
  <si>
    <t>AI Voice Agent for Ride Booking (XanhSM)</t>
  </si>
  <si>
    <t>Nội dung trình bày, xây dựng dự án rõ ràng chi tiết, phù hợp với định hướng đã đề ra.</t>
  </si>
  <si>
    <t>Real time environment ai agent for smart decision  making</t>
  </si>
  <si>
    <t>Dự án rất thực tế, có thể mang lại lợi ích lớn cho người dùng</t>
  </si>
  <si>
    <t>Chưa track dự đoán doanh thu mà chỉ có chi tiền để cung cấp cho người dùng. Nên phât triển thêm các tính năng thu phí</t>
  </si>
  <si>
    <t>Tại sao lại không lưu lại dữ liệu người dùng, việc này sẽ giúp hệ thống hiểu người dùng và tăng tính tương tác hơn</t>
  </si>
  <si>
    <t xml:space="preserve">Hospital Clinical Assistant </t>
  </si>
  <si>
    <t>Năng lực ứng dụng AI kết hợp với sự am hiểu bài toán nghiệp vụ y tế giúp nhóm khả năng triển khai nhanh một sản phẩm thử nghiệm khả thi</t>
  </si>
  <si>
    <t>Cải thiện năng lực về hạ tầng, dữ liệu và vận hành để đáp ứng được các tiêu chuẩn khắt khe trong môi trường thực tế</t>
  </si>
  <si>
    <t>Khong co</t>
  </si>
  <si>
    <t>Chatbot cán bộ nhân viên y tế cho bệnh viện</t>
  </si>
  <si>
    <t xml:space="preserve">Có xử lý ưu tiên trước khi </t>
  </si>
  <si>
    <t>Thiếu hụt MLops</t>
  </si>
  <si>
    <t>Bạn xử lý tình hưong như nào khi  có 2 trường hợp cần ưu tiên</t>
  </si>
  <si>
    <t>Best Enterprise Logic, Best Cost Thinking, Best Reliability Mindset, Best Track Recommendation</t>
  </si>
  <si>
    <t>Slide đẹp</t>
  </si>
  <si>
    <t>AI nội bộ công ty</t>
  </si>
  <si>
    <t>Xác định đúng tệp người dùng</t>
  </si>
  <si>
    <t>Một số phần như giải pháp giải thích vẫn chung chung, chưa có số liệu cụ thể</t>
  </si>
  <si>
    <t>Nêu 1 giải pháp AI nội bộ đã triển khai thành công mà nhóm biết?</t>
  </si>
  <si>
    <t>Real-time Environmental AI Agent</t>
  </si>
  <si>
    <t xml:space="preserve">Cost chi tiết </t>
  </si>
  <si>
    <t>Bổ sung on-premise</t>
  </si>
  <si>
    <t>Trợ lý AI hỗ trợ nội bộ</t>
  </si>
  <si>
    <t>Phân tích về cost chi tiết và số liệu thực tế</t>
  </si>
  <si>
    <t>Track</t>
  </si>
  <si>
    <t>Data có được phân tầng không ?. Dữ liệu cá nhân được sử lý thế nào</t>
  </si>
  <si>
    <t>AI Voice Agent for Ride Booking</t>
  </si>
  <si>
    <t>Ý tưởng cần thiết</t>
  </si>
  <si>
    <t>Manufacturing Maintenance copilot</t>
  </si>
  <si>
    <t>Có phần xử lý khi hệ thống lỗi</t>
  </si>
  <si>
    <t>Giá cao cho human</t>
  </si>
  <si>
    <t>Bạn có phương án giảm cost human không</t>
  </si>
  <si>
    <t>Nhóm 5 chị cho mày xem cái chi phí đi cái chi phí ở đây mức chi phí nó cao tổng chi phí là bao nhiêu 460 đô 1 tháng cái này là cho người dùng hay là cho doanh nghiệp cho 1 người dùng là vô là sẽ là 460 đô để mua sản phẩm này là tất cả 5 bên em là 51 tháng là 1.00 nhưng mà nếu mà kêu người ta đầu tư thì người ta phải có lợi nhuận trở lại đúng không</t>
  </si>
  <si>
    <t>Cost , bàii toán</t>
  </si>
  <si>
    <t>Cần trình bày chi tiết , sâu hơn</t>
  </si>
  <si>
    <t>Khả năng scale,  ROI</t>
  </si>
  <si>
    <t>Ten_nhom</t>
  </si>
  <si>
    <t>Zone</t>
  </si>
  <si>
    <t>So_phieu</t>
  </si>
  <si>
    <t>Diem_TB</t>
  </si>
  <si>
    <t>Bonus</t>
  </si>
  <si>
    <t>Diem_cuoi</t>
  </si>
  <si>
    <t>Xep_hang</t>
  </si>
  <si>
    <t>Doi_dan_dau</t>
  </si>
  <si>
    <t>Diem_cao_nhat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</si>
</sst>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charset val="1"/>
    </font>
    <font>
      <sz val="11"/>
      <color theme="1"/>
      <name val="Arial"/>
      <charset val="1"/>
    </font>
    <font>
      <sz val="11"/>
      <color theme="1"/>
      <name val="Roboto"/>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263" totalsRowShown="0">
  <autoFilter ref="A1:U263" xr:uid="{00000000-0009-0000-0100-000001000000}">
    <filterColumn colId="19">
      <filters>
        <filter val="NHÓM 4"/>
      </filters>
    </filterColumn>
    <filterColumn colId="20">
      <filters>
        <filter val="Zone 3"/>
      </filters>
    </filterColumn>
  </autoFilter>
  <tableColumns count="21">
    <tableColumn id="1" xr3:uid="{00000000-0010-0000-0000-000001000000}" name="Dấu thời gian"/>
    <tableColumn id="2" xr3:uid="{00000000-0010-0000-0000-000002000000}" name="Zone của bạn (ghi đúng mẫu: Zone 1)"/>
    <tableColumn id="3" xr3:uid="{00000000-0010-0000-0000-000003000000}" name="Tên nhóm của bạn _x000a_- ghi đúng mẫu: Nhóm 1 hoặc E1 (nếu trên bàn có ghi kí hiệu E1)"/>
    <tableColumn id="4" xr3:uid="{00000000-0010-0000-0000-000004000000}" name="Tên nhóm của nhóm được chấm_x000a_- ghi đúng mẫu: Nhóm 1 hoặc E1 (nếu trên bàn có ghi kí hiệu E1)"/>
    <tableColumn id="5" xr3:uid="{00000000-0010-0000-0000-000005000000}" name="Tên dự án/chủ đề của nhóm được chấm"/>
    <tableColumn id="6" xr3:uid="{00000000-0010-0000-0000-000006000000}" name="Điểm bài toán và bối cảnh enterprise (Use case rõ, user rõ, dữ liệu và ràng buộc enterprise được mô tả hợp lý)  "/>
    <tableColumn id="7" xr3:uid="{00000000-0010-0000-0000-000007000000}" name="Điểm kiến trúc triển khai (Chọn Cloud/On-prem/Hybrid có logic, giải thích được trade-off, phù hợp bối cảnh)  "/>
    <tableColumn id="8" xr3:uid="{00000000-0010-0000-0000-000008000000}" name="Điểm Cost analysis (Bóc cost theo thành phần, có mức MVP và Growth, nhận diện hidden cost)  "/>
    <tableColumn id="9" xr3:uid="{00000000-0010-0000-0000-000009000000}" name="Điểm Cost optimization (Chiến lược phù hợp, có lý do rõ, cân nhắc trade-off quality/cost)  "/>
    <tableColumn id="10" xr3:uid="{00000000-0010-0000-0000-00000A000000}" name="Điểm Reliability &amp; Scaling (Có failure scenarios, fallback, monitoring, suy nghĩ về tải và độ ổn định)  "/>
    <tableColumn id="11" xr3:uid="{00000000-0010-0000-0000-00000B000000}" name="Điểm Định hướng Track Phase 2 (Chọn track có căn cứ, liên hệ với kỹ năng và nhu cầu dự án)  "/>
    <tableColumn id="12" xr3:uid="{00000000-0010-0000-0000-00000C000000}" name="Điểm Trình bày và phản biện (Trình bày rõ, đúng thời gian, trả lời câu hỏi có logic)  "/>
    <tableColumn id="13" xr3:uid="{00000000-0010-0000-0000-00000D000000}" name="1 điểm mạnh nhất của đội (Viết ít nhất 1 câu cụ thể, nêu rõ phần nào ấn tượng nhất)"/>
    <tableColumn id="14" xr3:uid="{00000000-0010-0000-0000-00000E000000}" name="1 điểm cần cải thiện nhất _x000a_Nêu rõ phần nào (deployment / cost / reliability / track) và lý do"/>
    <tableColumn id="15" xr3:uid="{00000000-0010-0000-0000-00000F000000}" name="Câu hỏi hoặc phản biện dành cho đội_x000a_Phải liên quan đến logic triển khai, cost hoặc reliability — không hỏi lại thông tin đã có trên slide"/>
    <tableColumn id="16" xr3:uid="{00000000-0010-0000-0000-000010000000}" name="Đề xuất nếu đội tiếp tục sang Phase 2  "/>
    <tableColumn id="17" xr3:uid="{00000000-0010-0000-0000-000011000000}" name="_x000a_Trao badge cho đội này "/>
    <tableColumn id="18" xr3:uid="{00000000-0010-0000-0000-000012000000}" name="Tong_diem"/>
    <tableColumn id="19" xr3:uid="{00000000-0010-0000-0000-000013000000}" name="Ten_nhom_duoc_cham_chuan"/>
    <tableColumn id="20" xr3:uid="{00000000-0010-0000-0000-000014000000}" name="Ten_nhom_cham_chuan"/>
    <tableColumn id="21" xr3:uid="{00000000-0010-0000-0000-000015000000}" name="Zone_chua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263"/>
  <sheetViews>
    <sheetView tabSelected="1" topLeftCell="B1" zoomScaleNormal="100" workbookViewId="0">
      <pane ySplit="1" topLeftCell="A28" activePane="bottomLeft" state="frozen"/>
      <selection pane="bottomLeft" activeCell="D28" sqref="D28"/>
    </sheetView>
  </sheetViews>
  <sheetFormatPr defaultColWidth="12.6640625" defaultRowHeight="15.75" customHeight="1" x14ac:dyDescent="0.25"/>
  <cols>
    <col min="1" max="1" width="18.88671875" customWidth="1"/>
    <col min="2" max="2" width="16.77734375" customWidth="1"/>
    <col min="3" max="4" width="37.6640625" customWidth="1"/>
    <col min="5" max="5" width="34.21875" customWidth="1"/>
    <col min="6" max="14" width="37.6640625" customWidth="1"/>
    <col min="15" max="15" width="188.21875" customWidth="1"/>
    <col min="16" max="16" width="33.33203125" customWidth="1"/>
    <col min="17" max="17" width="22.6640625" customWidth="1"/>
    <col min="18" max="18" width="18.88671875" customWidth="1"/>
    <col min="19" max="20" width="23.44140625" customWidth="1"/>
    <col min="21" max="24" width="18.88671875"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3" t="s">
        <v>19</v>
      </c>
      <c r="U1" s="2" t="s">
        <v>20</v>
      </c>
    </row>
    <row r="2" spans="1:21" ht="22.5" hidden="1" customHeight="1" x14ac:dyDescent="0.25">
      <c r="A2" s="4">
        <v>46134.667128090303</v>
      </c>
      <c r="B2" s="5" t="s">
        <v>21</v>
      </c>
      <c r="C2" s="5" t="s">
        <v>22</v>
      </c>
      <c r="D2" s="5" t="s">
        <v>23</v>
      </c>
      <c r="E2" s="5" t="s">
        <v>24</v>
      </c>
      <c r="F2" s="5">
        <v>15</v>
      </c>
      <c r="G2" s="5">
        <v>20</v>
      </c>
      <c r="H2" s="5">
        <v>20</v>
      </c>
      <c r="I2" s="5">
        <v>15</v>
      </c>
      <c r="J2" s="5">
        <v>10</v>
      </c>
      <c r="L2" s="5">
        <v>5</v>
      </c>
      <c r="M2" s="5" t="s">
        <v>25</v>
      </c>
      <c r="N2" s="5" t="s">
        <v>26</v>
      </c>
      <c r="O2" s="5" t="s">
        <v>27</v>
      </c>
      <c r="Q2" s="5" t="s">
        <v>28</v>
      </c>
      <c r="R2" s="5">
        <f t="shared" ref="R2:R65" si="0">IF(A2="","",F2+G2+H2+I2+J2+L2)</f>
        <v>85</v>
      </c>
      <c r="S2" s="5" t="str">
        <f ca="1">IFERROR(__xludf.dummyfunction("ARRAYFORMULA(IF(D2:D263="""", """", IFERROR(""NHÓM "" &amp; MOD(VALUE(REGEXEXTRACT(D2:D263 &amp; """", ""[0-9]+"")) - 1, 6) + 1, D2:D263)))"),"NHÓM 5")</f>
        <v>NHÓM 5</v>
      </c>
      <c r="T2" s="5" t="str">
        <f ca="1">IFERROR(__xludf.dummyfunction("ARRAYFORMULA(IF(C2:C263="""", """", IFERROR(""NHÓM "" &amp; MOD(VALUE(REGEXEXTRACT(C2:C263 &amp; """", ""[0-9]+"")) - 1, 6) + 1, C2:C263)))"),"NHÓM 6")</f>
        <v>NHÓM 6</v>
      </c>
      <c r="U2" s="5" t="str">
        <f ca="1">IFERROR(__xludf.dummyfunction("IF(B2="""","""",""Zone ""&amp;IFERROR(VALUE(REGEXEXTRACT(TRIM(B2),""\d+"")),REGEXEXTRACT(TRIM(B2),""\d+"")))"),"Zone 3")</f>
        <v>Zone 3</v>
      </c>
    </row>
    <row r="3" spans="1:21" ht="22.5" hidden="1" customHeight="1" x14ac:dyDescent="0.25">
      <c r="A3" s="4">
        <v>46134.6709169444</v>
      </c>
      <c r="B3" s="5">
        <v>3</v>
      </c>
      <c r="C3" s="5">
        <v>17</v>
      </c>
      <c r="D3" s="5">
        <v>18</v>
      </c>
      <c r="E3" s="5" t="s">
        <v>29</v>
      </c>
      <c r="F3" s="5">
        <v>15</v>
      </c>
      <c r="G3" s="5">
        <v>16</v>
      </c>
      <c r="H3" s="5">
        <v>16</v>
      </c>
      <c r="I3" s="5">
        <v>15</v>
      </c>
      <c r="J3" s="5">
        <v>10</v>
      </c>
      <c r="L3" s="5">
        <v>4</v>
      </c>
      <c r="M3" s="5" t="s">
        <v>30</v>
      </c>
      <c r="N3" s="5" t="s">
        <v>31</v>
      </c>
      <c r="O3" s="5" t="s">
        <v>32</v>
      </c>
      <c r="R3" s="5">
        <f t="shared" si="0"/>
        <v>76</v>
      </c>
      <c r="S3" s="5" t="str">
        <f ca="1">IFERROR(__xludf.dummyfunction("""COMPUTED_VALUE"""),"NHÓM 6")</f>
        <v>NHÓM 6</v>
      </c>
      <c r="T3" s="5" t="str">
        <f ca="1">IFERROR(__xludf.dummyfunction("""COMPUTED_VALUE"""),"NHÓM 5")</f>
        <v>NHÓM 5</v>
      </c>
      <c r="U3" s="5" t="str">
        <f ca="1">IFERROR(__xludf.dummyfunction("IF(B3="""","""",""Zone ""&amp;IFERROR(VALUE(REGEXEXTRACT(TRIM(B3),""\d+"")),REGEXEXTRACT(TRIM(B3),""\d+"")))"),"Zone 3")</f>
        <v>Zone 3</v>
      </c>
    </row>
    <row r="4" spans="1:21" ht="22.5" hidden="1" customHeight="1" x14ac:dyDescent="0.25">
      <c r="A4" s="4">
        <v>46134.671021713002</v>
      </c>
      <c r="B4" s="5" t="s">
        <v>33</v>
      </c>
      <c r="C4" s="5" t="s">
        <v>34</v>
      </c>
      <c r="D4" s="5" t="s">
        <v>35</v>
      </c>
      <c r="E4" s="5" t="s">
        <v>36</v>
      </c>
      <c r="F4" s="5">
        <v>15</v>
      </c>
      <c r="G4" s="5">
        <v>20</v>
      </c>
      <c r="H4" s="5">
        <v>20</v>
      </c>
      <c r="I4" s="5">
        <v>15</v>
      </c>
      <c r="J4" s="5">
        <v>10</v>
      </c>
      <c r="L4" s="5">
        <v>5</v>
      </c>
      <c r="M4" s="5" t="s">
        <v>37</v>
      </c>
      <c r="N4" s="5" t="s">
        <v>38</v>
      </c>
      <c r="O4" s="5" t="s">
        <v>39</v>
      </c>
      <c r="Q4" s="5" t="s">
        <v>40</v>
      </c>
      <c r="R4" s="5">
        <f t="shared" si="0"/>
        <v>85</v>
      </c>
      <c r="S4" s="5" t="str">
        <f ca="1">IFERROR(__xludf.dummyfunction("""COMPUTED_VALUE"""),"NHÓM 4")</f>
        <v>NHÓM 4</v>
      </c>
      <c r="T4" s="5" t="str">
        <f ca="1">IFERROR(__xludf.dummyfunction("""COMPUTED_VALUE"""),"NHÓM 4")</f>
        <v>NHÓM 4</v>
      </c>
      <c r="U4" s="5" t="str">
        <f ca="1">IFERROR(__xludf.dummyfunction("IF(B4="""","""",""Zone ""&amp;IFERROR(VALUE(REGEXEXTRACT(TRIM(B4),""\d+"")),REGEXEXTRACT(TRIM(B4),""\d+"")))"),"Zone 4")</f>
        <v>Zone 4</v>
      </c>
    </row>
    <row r="5" spans="1:21" ht="22.5" hidden="1" customHeight="1" x14ac:dyDescent="0.25">
      <c r="A5" s="4">
        <v>46134.671031331003</v>
      </c>
      <c r="B5" s="5">
        <v>4</v>
      </c>
      <c r="C5" s="5" t="s">
        <v>35</v>
      </c>
      <c r="D5" s="5" t="s">
        <v>34</v>
      </c>
      <c r="E5" s="5" t="s">
        <v>41</v>
      </c>
      <c r="F5" s="5">
        <v>15</v>
      </c>
      <c r="G5" s="5">
        <v>20</v>
      </c>
      <c r="H5" s="5">
        <v>20</v>
      </c>
      <c r="I5" s="5">
        <v>15</v>
      </c>
      <c r="J5" s="5">
        <v>10</v>
      </c>
      <c r="L5" s="5">
        <v>5</v>
      </c>
      <c r="M5" s="5" t="s">
        <v>42</v>
      </c>
      <c r="N5" s="5" t="s">
        <v>38</v>
      </c>
      <c r="O5" s="5" t="s">
        <v>43</v>
      </c>
      <c r="Q5" s="5" t="s">
        <v>40</v>
      </c>
      <c r="R5" s="5">
        <f t="shared" si="0"/>
        <v>85</v>
      </c>
      <c r="S5" s="5" t="str">
        <f ca="1">IFERROR(__xludf.dummyfunction("""COMPUTED_VALUE"""),"NHÓM 4")</f>
        <v>NHÓM 4</v>
      </c>
      <c r="T5" s="5" t="str">
        <f ca="1">IFERROR(__xludf.dummyfunction("""COMPUTED_VALUE"""),"NHÓM 4")</f>
        <v>NHÓM 4</v>
      </c>
      <c r="U5" s="5" t="str">
        <f ca="1">IFERROR(__xludf.dummyfunction("IF(B5="""","""",""Zone ""&amp;IFERROR(VALUE(REGEXEXTRACT(TRIM(B5),""\d+"")),REGEXEXTRACT(TRIM(B5),""\d+"")))"),"Zone 4")</f>
        <v>Zone 4</v>
      </c>
    </row>
    <row r="6" spans="1:21" ht="22.5" hidden="1" customHeight="1" x14ac:dyDescent="0.25">
      <c r="A6" s="4">
        <v>46134.673838807903</v>
      </c>
      <c r="B6" s="5" t="s">
        <v>33</v>
      </c>
      <c r="C6" s="5" t="s">
        <v>44</v>
      </c>
      <c r="D6" s="5" t="s">
        <v>45</v>
      </c>
      <c r="E6" s="5" t="s">
        <v>46</v>
      </c>
      <c r="F6" s="5">
        <v>15</v>
      </c>
      <c r="G6" s="5">
        <v>20</v>
      </c>
      <c r="H6" s="5">
        <v>20</v>
      </c>
      <c r="I6" s="5">
        <v>12</v>
      </c>
      <c r="J6" s="5">
        <v>10</v>
      </c>
      <c r="L6" s="5">
        <v>4</v>
      </c>
      <c r="M6" s="5" t="s">
        <v>47</v>
      </c>
      <c r="N6" s="5" t="s">
        <v>48</v>
      </c>
      <c r="O6" s="5" t="s">
        <v>49</v>
      </c>
      <c r="Q6" s="5" t="s">
        <v>50</v>
      </c>
      <c r="R6" s="5">
        <f t="shared" si="0"/>
        <v>81</v>
      </c>
      <c r="S6" s="5" t="str">
        <f ca="1">IFERROR(__xludf.dummyfunction("""COMPUTED_VALUE"""),"NHÓM 2")</f>
        <v>NHÓM 2</v>
      </c>
      <c r="T6" s="5" t="str">
        <f ca="1">IFERROR(__xludf.dummyfunction("""COMPUTED_VALUE"""),"NHÓM 3")</f>
        <v>NHÓM 3</v>
      </c>
      <c r="U6" s="5" t="str">
        <f ca="1">IFERROR(__xludf.dummyfunction("IF(B6="""","""",""Zone ""&amp;IFERROR(VALUE(REGEXEXTRACT(TRIM(B6),""\d+"")),REGEXEXTRACT(TRIM(B6),""\d+"")))"),"Zone 4")</f>
        <v>Zone 4</v>
      </c>
    </row>
    <row r="7" spans="1:21" ht="22.5" hidden="1" customHeight="1" x14ac:dyDescent="0.25">
      <c r="A7" s="4">
        <v>46134.673931794001</v>
      </c>
      <c r="B7" s="5" t="s">
        <v>33</v>
      </c>
      <c r="C7" s="5" t="s">
        <v>51</v>
      </c>
      <c r="D7" s="5" t="s">
        <v>34</v>
      </c>
      <c r="E7" s="5" t="s">
        <v>52</v>
      </c>
      <c r="F7" s="5">
        <v>15</v>
      </c>
      <c r="G7" s="5">
        <v>16</v>
      </c>
      <c r="H7" s="5">
        <v>16</v>
      </c>
      <c r="I7" s="5">
        <v>15</v>
      </c>
      <c r="J7" s="5">
        <v>8</v>
      </c>
      <c r="L7" s="5">
        <v>4</v>
      </c>
      <c r="M7" s="5" t="s">
        <v>53</v>
      </c>
      <c r="N7" s="5" t="s">
        <v>54</v>
      </c>
      <c r="O7" s="5" t="s">
        <v>55</v>
      </c>
      <c r="Q7" s="5" t="s">
        <v>50</v>
      </c>
      <c r="R7" s="5">
        <f t="shared" si="0"/>
        <v>74</v>
      </c>
      <c r="S7" s="5" t="str">
        <f ca="1">IFERROR(__xludf.dummyfunction("""COMPUTED_VALUE"""),"NHÓM 4")</f>
        <v>NHÓM 4</v>
      </c>
      <c r="T7" s="5" t="str">
        <f ca="1">IFERROR(__xludf.dummyfunction("""COMPUTED_VALUE"""),"NHÓM 1")</f>
        <v>NHÓM 1</v>
      </c>
      <c r="U7" s="5" t="str">
        <f ca="1">IFERROR(__xludf.dummyfunction("IF(B7="""","""",""Zone ""&amp;IFERROR(VALUE(REGEXEXTRACT(TRIM(B7),""\d+"")),REGEXEXTRACT(TRIM(B7),""\d+"")))"),"Zone 4")</f>
        <v>Zone 4</v>
      </c>
    </row>
    <row r="8" spans="1:21" ht="22.5" hidden="1" customHeight="1" x14ac:dyDescent="0.25">
      <c r="A8" s="4">
        <v>46134.673961041699</v>
      </c>
      <c r="B8" s="5" t="s">
        <v>33</v>
      </c>
      <c r="C8" s="5" t="s">
        <v>51</v>
      </c>
      <c r="D8" s="5" t="s">
        <v>34</v>
      </c>
      <c r="E8" s="5" t="s">
        <v>52</v>
      </c>
      <c r="F8" s="5">
        <v>15</v>
      </c>
      <c r="G8" s="5">
        <v>16</v>
      </c>
      <c r="H8" s="5">
        <v>16</v>
      </c>
      <c r="I8" s="5">
        <v>15</v>
      </c>
      <c r="J8" s="5">
        <v>8</v>
      </c>
      <c r="L8" s="5">
        <v>4</v>
      </c>
      <c r="M8" s="5" t="s">
        <v>53</v>
      </c>
      <c r="N8" s="5" t="s">
        <v>54</v>
      </c>
      <c r="O8" s="5" t="s">
        <v>55</v>
      </c>
      <c r="Q8" s="5" t="s">
        <v>50</v>
      </c>
      <c r="R8" s="5">
        <f t="shared" si="0"/>
        <v>74</v>
      </c>
      <c r="S8" s="5" t="str">
        <f ca="1">IFERROR(__xludf.dummyfunction("""COMPUTED_VALUE"""),"NHÓM 4")</f>
        <v>NHÓM 4</v>
      </c>
      <c r="T8" s="5" t="str">
        <f ca="1">IFERROR(__xludf.dummyfunction("""COMPUTED_VALUE"""),"NHÓM 1")</f>
        <v>NHÓM 1</v>
      </c>
      <c r="U8" s="5" t="str">
        <f ca="1">IFERROR(__xludf.dummyfunction("IF(B8="""","""",""Zone ""&amp;IFERROR(VALUE(REGEXEXTRACT(TRIM(B8),""\d+"")),REGEXEXTRACT(TRIM(B8),""\d+"")))"),"Zone 4")</f>
        <v>Zone 4</v>
      </c>
    </row>
    <row r="9" spans="1:21" ht="22.5" hidden="1" customHeight="1" x14ac:dyDescent="0.25">
      <c r="A9" s="4">
        <v>46134.674520891203</v>
      </c>
      <c r="B9" s="5" t="s">
        <v>33</v>
      </c>
      <c r="C9" s="5" t="s">
        <v>45</v>
      </c>
      <c r="D9" s="5" t="s">
        <v>35</v>
      </c>
      <c r="E9" s="5" t="s">
        <v>56</v>
      </c>
      <c r="F9" s="5">
        <v>15</v>
      </c>
      <c r="G9" s="5">
        <v>20</v>
      </c>
      <c r="H9" s="5">
        <v>12</v>
      </c>
      <c r="I9" s="5">
        <v>15</v>
      </c>
      <c r="J9" s="5">
        <v>8</v>
      </c>
      <c r="L9" s="5">
        <v>4</v>
      </c>
      <c r="M9" s="5" t="s">
        <v>57</v>
      </c>
      <c r="N9" s="5" t="s">
        <v>58</v>
      </c>
      <c r="O9" s="5" t="s">
        <v>59</v>
      </c>
      <c r="Q9" s="5" t="s">
        <v>50</v>
      </c>
      <c r="R9" s="5">
        <f t="shared" si="0"/>
        <v>74</v>
      </c>
      <c r="S9" s="5" t="str">
        <f ca="1">IFERROR(__xludf.dummyfunction("""COMPUTED_VALUE"""),"NHÓM 4")</f>
        <v>NHÓM 4</v>
      </c>
      <c r="T9" s="5" t="str">
        <f ca="1">IFERROR(__xludf.dummyfunction("""COMPUTED_VALUE"""),"NHÓM 2")</f>
        <v>NHÓM 2</v>
      </c>
      <c r="U9" s="5" t="str">
        <f ca="1">IFERROR(__xludf.dummyfunction("IF(B9="""","""",""Zone ""&amp;IFERROR(VALUE(REGEXEXTRACT(TRIM(B9),""\d+"")),REGEXEXTRACT(TRIM(B9),""\d+"")))"),"Zone 4")</f>
        <v>Zone 4</v>
      </c>
    </row>
    <row r="10" spans="1:21" ht="22.5" hidden="1" customHeight="1" x14ac:dyDescent="0.25">
      <c r="A10" s="4">
        <v>46134.674618576399</v>
      </c>
      <c r="B10" s="5" t="s">
        <v>33</v>
      </c>
      <c r="C10" s="5" t="s">
        <v>34</v>
      </c>
      <c r="D10" s="5" t="s">
        <v>45</v>
      </c>
      <c r="E10" s="5" t="s">
        <v>60</v>
      </c>
      <c r="F10" s="5">
        <v>15</v>
      </c>
      <c r="G10" s="5">
        <v>20</v>
      </c>
      <c r="H10" s="5">
        <v>20</v>
      </c>
      <c r="I10" s="5">
        <v>15</v>
      </c>
      <c r="J10" s="5">
        <v>10</v>
      </c>
      <c r="L10" s="5">
        <v>5</v>
      </c>
      <c r="M10" s="5" t="s">
        <v>61</v>
      </c>
      <c r="N10" s="5" t="s">
        <v>62</v>
      </c>
      <c r="O10" s="5" t="s">
        <v>63</v>
      </c>
      <c r="Q10" s="5" t="s">
        <v>40</v>
      </c>
      <c r="R10" s="5">
        <f t="shared" si="0"/>
        <v>85</v>
      </c>
      <c r="S10" s="5" t="str">
        <f ca="1">IFERROR(__xludf.dummyfunction("""COMPUTED_VALUE"""),"NHÓM 2")</f>
        <v>NHÓM 2</v>
      </c>
      <c r="T10" s="5" t="str">
        <f ca="1">IFERROR(__xludf.dummyfunction("""COMPUTED_VALUE"""),"NHÓM 4")</f>
        <v>NHÓM 4</v>
      </c>
      <c r="U10" s="5" t="str">
        <f ca="1">IFERROR(__xludf.dummyfunction("IF(B10="""","""",""Zone ""&amp;IFERROR(VALUE(REGEXEXTRACT(TRIM(B10),""\d+"")),REGEXEXTRACT(TRIM(B10),""\d+"")))"),"Zone 4")</f>
        <v>Zone 4</v>
      </c>
    </row>
    <row r="11" spans="1:21" ht="22.5" hidden="1" customHeight="1" x14ac:dyDescent="0.25">
      <c r="A11" s="4">
        <v>46134.6754787963</v>
      </c>
      <c r="B11" s="5">
        <v>4</v>
      </c>
      <c r="C11" s="5">
        <v>34</v>
      </c>
      <c r="D11" s="5">
        <v>19</v>
      </c>
      <c r="E11" s="5" t="s">
        <v>64</v>
      </c>
      <c r="F11" s="5">
        <v>12</v>
      </c>
      <c r="G11" s="5">
        <v>12</v>
      </c>
      <c r="H11" s="5">
        <v>8</v>
      </c>
      <c r="I11" s="5">
        <v>6</v>
      </c>
      <c r="J11" s="5">
        <v>8</v>
      </c>
      <c r="L11" s="5">
        <v>5</v>
      </c>
      <c r="M11" s="5" t="s">
        <v>65</v>
      </c>
      <c r="N11" s="5" t="s">
        <v>66</v>
      </c>
      <c r="O11" s="5" t="s">
        <v>67</v>
      </c>
      <c r="R11" s="5">
        <f t="shared" si="0"/>
        <v>51</v>
      </c>
      <c r="S11" s="5" t="str">
        <f ca="1">IFERROR(__xludf.dummyfunction("""COMPUTED_VALUE"""),"NHÓM 1")</f>
        <v>NHÓM 1</v>
      </c>
      <c r="T11" s="5" t="str">
        <f ca="1">IFERROR(__xludf.dummyfunction("""COMPUTED_VALUE"""),"NHÓM 4")</f>
        <v>NHÓM 4</v>
      </c>
      <c r="U11" s="5" t="str">
        <f ca="1">IFERROR(__xludf.dummyfunction("IF(B11="""","""",""Zone ""&amp;IFERROR(VALUE(REGEXEXTRACT(TRIM(B11),""\d+"")),REGEXEXTRACT(TRIM(B11),""\d+"")))"),"Zone 4")</f>
        <v>Zone 4</v>
      </c>
    </row>
    <row r="12" spans="1:21" ht="22.5" hidden="1" customHeight="1" x14ac:dyDescent="0.25">
      <c r="A12" s="4">
        <v>46134.676050046299</v>
      </c>
      <c r="B12" s="5">
        <v>4</v>
      </c>
      <c r="C12" s="5">
        <v>21</v>
      </c>
      <c r="D12" s="5">
        <v>34</v>
      </c>
      <c r="E12" s="5" t="s">
        <v>68</v>
      </c>
      <c r="F12" s="5">
        <v>15</v>
      </c>
      <c r="G12" s="5">
        <v>20</v>
      </c>
      <c r="H12" s="5">
        <v>20</v>
      </c>
      <c r="I12" s="5">
        <v>15</v>
      </c>
      <c r="J12" s="5">
        <v>10</v>
      </c>
      <c r="L12" s="5">
        <v>5</v>
      </c>
      <c r="M12" s="5" t="s">
        <v>69</v>
      </c>
      <c r="N12" s="5" t="s">
        <v>70</v>
      </c>
      <c r="O12" s="5" t="s">
        <v>71</v>
      </c>
      <c r="Q12" s="5" t="s">
        <v>72</v>
      </c>
      <c r="R12" s="5">
        <f t="shared" si="0"/>
        <v>85</v>
      </c>
      <c r="S12" s="5" t="str">
        <f ca="1">IFERROR(__xludf.dummyfunction("""COMPUTED_VALUE"""),"NHÓM 4")</f>
        <v>NHÓM 4</v>
      </c>
      <c r="T12" s="5" t="str">
        <f ca="1">IFERROR(__xludf.dummyfunction("""COMPUTED_VALUE"""),"NHÓM 3")</f>
        <v>NHÓM 3</v>
      </c>
      <c r="U12" s="5" t="str">
        <f ca="1">IFERROR(__xludf.dummyfunction("IF(B12="""","""",""Zone ""&amp;IFERROR(VALUE(REGEXEXTRACT(TRIM(B12),""\d+"")),REGEXEXTRACT(TRIM(B12),""\d+"")))"),"Zone 4")</f>
        <v>Zone 4</v>
      </c>
    </row>
    <row r="13" spans="1:21" ht="22.5" hidden="1" customHeight="1" x14ac:dyDescent="0.25">
      <c r="A13" s="4">
        <v>46134.676497384302</v>
      </c>
      <c r="B13" s="5" t="s">
        <v>73</v>
      </c>
      <c r="C13" s="5" t="s">
        <v>74</v>
      </c>
      <c r="D13" s="5" t="s">
        <v>75</v>
      </c>
      <c r="E13" s="5" t="s">
        <v>76</v>
      </c>
      <c r="F13" s="5">
        <v>12</v>
      </c>
      <c r="G13" s="5">
        <v>16</v>
      </c>
      <c r="H13" s="5">
        <v>16</v>
      </c>
      <c r="I13" s="5">
        <v>12</v>
      </c>
      <c r="J13" s="5">
        <v>8</v>
      </c>
      <c r="L13" s="5">
        <v>4</v>
      </c>
      <c r="M13" s="5" t="s">
        <v>77</v>
      </c>
      <c r="N13" s="5" t="s">
        <v>78</v>
      </c>
      <c r="O13" s="5" t="s">
        <v>79</v>
      </c>
      <c r="R13" s="5">
        <f t="shared" si="0"/>
        <v>68</v>
      </c>
      <c r="S13" s="5" t="str">
        <f ca="1">IFERROR(__xludf.dummyfunction("""COMPUTED_VALUE"""),"NHÓM 2")</f>
        <v>NHÓM 2</v>
      </c>
      <c r="T13" s="5" t="str">
        <f ca="1">IFERROR(__xludf.dummyfunction("""COMPUTED_VALUE"""),"NHÓM 1")</f>
        <v>NHÓM 1</v>
      </c>
      <c r="U13" s="5" t="str">
        <f ca="1">IFERROR(__xludf.dummyfunction("IF(B13="""","""",""Zone ""&amp;IFERROR(VALUE(REGEXEXTRACT(TRIM(B13),""\d+"")),REGEXEXTRACT(TRIM(B13),""\d+"")))"),"Zone 3")</f>
        <v>Zone 3</v>
      </c>
    </row>
    <row r="14" spans="1:21" ht="22.5" hidden="1" customHeight="1" x14ac:dyDescent="0.25">
      <c r="A14" s="4">
        <v>46134.6765358681</v>
      </c>
      <c r="B14" s="5">
        <v>5</v>
      </c>
      <c r="C14" s="5" t="s">
        <v>80</v>
      </c>
      <c r="D14" s="5" t="s">
        <v>74</v>
      </c>
      <c r="E14" s="5" t="s">
        <v>81</v>
      </c>
      <c r="F14" s="5">
        <v>12</v>
      </c>
      <c r="G14" s="5">
        <v>12</v>
      </c>
      <c r="H14" s="5">
        <v>16</v>
      </c>
      <c r="I14" s="5">
        <v>9</v>
      </c>
      <c r="J14" s="5">
        <v>8</v>
      </c>
      <c r="L14" s="5">
        <v>3</v>
      </c>
      <c r="M14" s="5" t="s">
        <v>82</v>
      </c>
      <c r="N14" s="5" t="s">
        <v>83</v>
      </c>
      <c r="O14" s="5" t="s">
        <v>84</v>
      </c>
      <c r="Q14" s="5" t="s">
        <v>50</v>
      </c>
      <c r="R14" s="5">
        <f t="shared" si="0"/>
        <v>60</v>
      </c>
      <c r="S14" s="5" t="str">
        <f ca="1">IFERROR(__xludf.dummyfunction("""COMPUTED_VALUE"""),"NHÓM 1")</f>
        <v>NHÓM 1</v>
      </c>
      <c r="T14" s="5" t="str">
        <f ca="1">IFERROR(__xludf.dummyfunction("""COMPUTED_VALUE"""),"NHÓM 4")</f>
        <v>NHÓM 4</v>
      </c>
      <c r="U14" s="5" t="str">
        <f ca="1">IFERROR(__xludf.dummyfunction("IF(B14="""","""",""Zone ""&amp;IFERROR(VALUE(REGEXEXTRACT(TRIM(B14),""\d+"")),REGEXEXTRACT(TRIM(B14),""\d+"")))"),"Zone 5")</f>
        <v>Zone 5</v>
      </c>
    </row>
    <row r="15" spans="1:21" ht="22.5" hidden="1" customHeight="1" x14ac:dyDescent="0.25">
      <c r="A15" s="4">
        <v>46134.676544976901</v>
      </c>
      <c r="B15" s="5">
        <v>5</v>
      </c>
      <c r="C15" s="5">
        <v>2</v>
      </c>
      <c r="D15" s="5">
        <v>1</v>
      </c>
      <c r="E15" s="5" t="s">
        <v>81</v>
      </c>
      <c r="F15" s="5">
        <v>12</v>
      </c>
      <c r="G15" s="5">
        <v>16</v>
      </c>
      <c r="H15" s="5">
        <v>16</v>
      </c>
      <c r="I15" s="5">
        <v>12</v>
      </c>
      <c r="J15" s="5">
        <v>8</v>
      </c>
      <c r="L15" s="5">
        <v>4</v>
      </c>
      <c r="M15" s="5" t="s">
        <v>85</v>
      </c>
      <c r="N15" s="5" t="s">
        <v>86</v>
      </c>
      <c r="O15" s="5" t="s">
        <v>87</v>
      </c>
      <c r="Q15" s="5" t="s">
        <v>72</v>
      </c>
      <c r="R15" s="5">
        <f t="shared" si="0"/>
        <v>68</v>
      </c>
      <c r="S15" s="5" t="str">
        <f ca="1">IFERROR(__xludf.dummyfunction("""COMPUTED_VALUE"""),"NHÓM 1")</f>
        <v>NHÓM 1</v>
      </c>
      <c r="T15" s="5" t="str">
        <f ca="1">IFERROR(__xludf.dummyfunction("""COMPUTED_VALUE"""),"NHÓM 2")</f>
        <v>NHÓM 2</v>
      </c>
      <c r="U15" s="5" t="str">
        <f ca="1">IFERROR(__xludf.dummyfunction("IF(B15="""","""",""Zone ""&amp;IFERROR(VALUE(REGEXEXTRACT(TRIM(B15),""\d+"")),REGEXEXTRACT(TRIM(B15),""\d+"")))"),"Zone 5")</f>
        <v>Zone 5</v>
      </c>
    </row>
    <row r="16" spans="1:21" ht="22.5" hidden="1" customHeight="1" x14ac:dyDescent="0.25">
      <c r="A16" s="4">
        <v>46134.676639062498</v>
      </c>
      <c r="B16" s="5">
        <v>3</v>
      </c>
      <c r="C16" s="5">
        <v>18</v>
      </c>
      <c r="D16" s="5">
        <v>14</v>
      </c>
      <c r="E16" s="5" t="s">
        <v>88</v>
      </c>
      <c r="F16" s="5">
        <v>12</v>
      </c>
      <c r="G16" s="5">
        <v>16</v>
      </c>
      <c r="H16" s="5">
        <v>16</v>
      </c>
      <c r="I16" s="5">
        <v>15</v>
      </c>
      <c r="J16" s="5">
        <v>8</v>
      </c>
      <c r="L16" s="5">
        <v>4</v>
      </c>
      <c r="M16" s="5" t="s">
        <v>89</v>
      </c>
      <c r="N16" s="5" t="s">
        <v>90</v>
      </c>
      <c r="O16" s="5" t="s">
        <v>91</v>
      </c>
      <c r="R16" s="5">
        <f t="shared" si="0"/>
        <v>71</v>
      </c>
      <c r="S16" s="5" t="str">
        <f ca="1">IFERROR(__xludf.dummyfunction("""COMPUTED_VALUE"""),"NHÓM 2")</f>
        <v>NHÓM 2</v>
      </c>
      <c r="T16" s="5" t="str">
        <f ca="1">IFERROR(__xludf.dummyfunction("""COMPUTED_VALUE"""),"NHÓM 6")</f>
        <v>NHÓM 6</v>
      </c>
      <c r="U16" s="5" t="str">
        <f ca="1">IFERROR(__xludf.dummyfunction("IF(B16="""","""",""Zone ""&amp;IFERROR(VALUE(REGEXEXTRACT(TRIM(B16),""\d+"")),REGEXEXTRACT(TRIM(B16),""\d+"")))"),"Zone 3")</f>
        <v>Zone 3</v>
      </c>
    </row>
    <row r="17" spans="1:21" ht="22.5" hidden="1" customHeight="1" x14ac:dyDescent="0.25">
      <c r="A17" s="4">
        <v>46134.677058205998</v>
      </c>
      <c r="B17" s="5">
        <v>4</v>
      </c>
      <c r="C17" s="5">
        <v>23</v>
      </c>
      <c r="D17" s="5">
        <v>22</v>
      </c>
      <c r="E17" s="5" t="s">
        <v>92</v>
      </c>
      <c r="F17" s="5">
        <v>15</v>
      </c>
      <c r="G17" s="5">
        <v>16</v>
      </c>
      <c r="H17" s="5">
        <v>20</v>
      </c>
      <c r="I17" s="5">
        <v>12</v>
      </c>
      <c r="J17" s="5">
        <v>6</v>
      </c>
      <c r="L17" s="5">
        <v>4</v>
      </c>
      <c r="M17" s="5" t="s">
        <v>93</v>
      </c>
      <c r="N17" s="5" t="s">
        <v>94</v>
      </c>
      <c r="O17" s="5" t="s">
        <v>95</v>
      </c>
      <c r="R17" s="5">
        <f t="shared" si="0"/>
        <v>73</v>
      </c>
      <c r="S17" s="5" t="str">
        <f ca="1">IFERROR(__xludf.dummyfunction("""COMPUTED_VALUE"""),"NHÓM 4")</f>
        <v>NHÓM 4</v>
      </c>
      <c r="T17" s="5" t="str">
        <f ca="1">IFERROR(__xludf.dummyfunction("""COMPUTED_VALUE"""),"NHÓM 5")</f>
        <v>NHÓM 5</v>
      </c>
      <c r="U17" s="5" t="str">
        <f ca="1">IFERROR(__xludf.dummyfunction("IF(B17="""","""",""Zone ""&amp;IFERROR(VALUE(REGEXEXTRACT(TRIM(B17),""\d+"")),REGEXEXTRACT(TRIM(B17),""\d+"")))"),"Zone 4")</f>
        <v>Zone 4</v>
      </c>
    </row>
    <row r="18" spans="1:21" ht="22.5" hidden="1" customHeight="1" x14ac:dyDescent="0.25">
      <c r="A18" s="4">
        <v>46134.677976273102</v>
      </c>
      <c r="B18" s="5">
        <v>5</v>
      </c>
      <c r="C18" s="5">
        <v>29</v>
      </c>
      <c r="D18" s="5" t="s">
        <v>96</v>
      </c>
      <c r="E18" s="5" t="s">
        <v>81</v>
      </c>
      <c r="F18" s="5">
        <v>9</v>
      </c>
      <c r="G18" s="5">
        <v>12</v>
      </c>
      <c r="H18" s="5">
        <v>12</v>
      </c>
      <c r="I18" s="5">
        <v>12</v>
      </c>
      <c r="J18" s="5">
        <v>6</v>
      </c>
      <c r="L18" s="5">
        <v>4</v>
      </c>
      <c r="M18" s="5" t="s">
        <v>97</v>
      </c>
      <c r="N18" s="5" t="s">
        <v>98</v>
      </c>
      <c r="O18" s="5" t="s">
        <v>99</v>
      </c>
      <c r="Q18" s="5" t="s">
        <v>72</v>
      </c>
      <c r="R18" s="5">
        <f t="shared" si="0"/>
        <v>55</v>
      </c>
      <c r="S18" s="5" t="str">
        <f ca="1">IFERROR(__xludf.dummyfunction("""COMPUTED_VALUE"""),"NHÓM 1")</f>
        <v>NHÓM 1</v>
      </c>
      <c r="T18" s="5" t="str">
        <f ca="1">IFERROR(__xludf.dummyfunction("""COMPUTED_VALUE"""),"NHÓM 5")</f>
        <v>NHÓM 5</v>
      </c>
      <c r="U18" s="5" t="str">
        <f ca="1">IFERROR(__xludf.dummyfunction("IF(B18="""","""",""Zone ""&amp;IFERROR(VALUE(REGEXEXTRACT(TRIM(B18),""\d+"")),REGEXEXTRACT(TRIM(B18),""\d+"")))"),"Zone 5")</f>
        <v>Zone 5</v>
      </c>
    </row>
    <row r="19" spans="1:21" ht="22.5" hidden="1" customHeight="1" x14ac:dyDescent="0.25">
      <c r="A19" s="4">
        <v>46134.678120868099</v>
      </c>
      <c r="B19" s="5">
        <v>6</v>
      </c>
      <c r="C19" s="5" t="s">
        <v>100</v>
      </c>
      <c r="D19" s="5" t="s">
        <v>101</v>
      </c>
      <c r="E19" s="5" t="s">
        <v>102</v>
      </c>
      <c r="F19" s="5">
        <v>9</v>
      </c>
      <c r="G19" s="5">
        <v>4</v>
      </c>
      <c r="H19" s="5">
        <v>20</v>
      </c>
      <c r="I19" s="5">
        <v>9</v>
      </c>
      <c r="J19" s="5">
        <v>8</v>
      </c>
      <c r="L19" s="5">
        <v>4</v>
      </c>
      <c r="M19" s="5" t="s">
        <v>103</v>
      </c>
      <c r="N19" s="5" t="s">
        <v>104</v>
      </c>
      <c r="O19" s="5" t="s">
        <v>105</v>
      </c>
      <c r="Q19" s="5" t="s">
        <v>28</v>
      </c>
      <c r="R19" s="5">
        <f t="shared" si="0"/>
        <v>54</v>
      </c>
      <c r="S19" s="5" t="str">
        <f ca="1">IFERROR(__xludf.dummyfunction("""COMPUTED_VALUE"""),"NHÓM 3")</f>
        <v>NHÓM 3</v>
      </c>
      <c r="T19" s="5" t="str">
        <f ca="1">IFERROR(__xludf.dummyfunction("""COMPUTED_VALUE"""),"NHÓM 1")</f>
        <v>NHÓM 1</v>
      </c>
      <c r="U19" s="5" t="str">
        <f ca="1">IFERROR(__xludf.dummyfunction("IF(B19="""","""",""Zone ""&amp;IFERROR(VALUE(REGEXEXTRACT(TRIM(B19),""\d+"")),REGEXEXTRACT(TRIM(B19),""\d+"")))"),"Zone 6")</f>
        <v>Zone 6</v>
      </c>
    </row>
    <row r="20" spans="1:21" ht="22.5" hidden="1" customHeight="1" x14ac:dyDescent="0.25">
      <c r="A20" s="4">
        <v>46134.678517963002</v>
      </c>
      <c r="B20" s="5" t="s">
        <v>106</v>
      </c>
      <c r="C20" s="5" t="s">
        <v>75</v>
      </c>
      <c r="D20" s="5" t="s">
        <v>107</v>
      </c>
      <c r="E20" s="5" t="s">
        <v>108</v>
      </c>
      <c r="F20" s="5">
        <v>9</v>
      </c>
      <c r="G20" s="5">
        <v>12</v>
      </c>
      <c r="H20" s="5">
        <v>16</v>
      </c>
      <c r="I20" s="5">
        <v>9</v>
      </c>
      <c r="J20" s="5">
        <v>4</v>
      </c>
      <c r="L20" s="5">
        <v>3</v>
      </c>
      <c r="M20" s="5" t="s">
        <v>109</v>
      </c>
      <c r="N20" s="5" t="s">
        <v>110</v>
      </c>
      <c r="O20" s="5" t="s">
        <v>111</v>
      </c>
      <c r="Q20" s="5" t="s">
        <v>72</v>
      </c>
      <c r="R20" s="5">
        <f t="shared" si="0"/>
        <v>53</v>
      </c>
      <c r="S20" s="5" t="str">
        <f ca="1">IFERROR(__xludf.dummyfunction("""COMPUTED_VALUE"""),"NHÓM 3")</f>
        <v>NHÓM 3</v>
      </c>
      <c r="T20" s="5" t="str">
        <f ca="1">IFERROR(__xludf.dummyfunction("""COMPUTED_VALUE"""),"NHÓM 2")</f>
        <v>NHÓM 2</v>
      </c>
      <c r="U20" s="5" t="str">
        <f ca="1">IFERROR(__xludf.dummyfunction("IF(B20="""","""",""Zone ""&amp;IFERROR(VALUE(REGEXEXTRACT(TRIM(B20),""\d+"")),REGEXEXTRACT(TRIM(B20),""\d+"")))"),"Zone 2")</f>
        <v>Zone 2</v>
      </c>
    </row>
    <row r="21" spans="1:21" ht="22.5" hidden="1" customHeight="1" x14ac:dyDescent="0.25">
      <c r="A21" s="4">
        <v>46134.6786354051</v>
      </c>
      <c r="B21" s="5" t="s">
        <v>106</v>
      </c>
      <c r="C21" s="5" t="s">
        <v>112</v>
      </c>
      <c r="D21" s="5" t="s">
        <v>113</v>
      </c>
      <c r="E21" s="5" t="s">
        <v>108</v>
      </c>
      <c r="F21" s="5">
        <v>12</v>
      </c>
      <c r="G21" s="5">
        <v>16</v>
      </c>
      <c r="H21" s="5">
        <v>12</v>
      </c>
      <c r="I21" s="5">
        <v>15</v>
      </c>
      <c r="J21" s="5">
        <v>8</v>
      </c>
      <c r="L21" s="5">
        <v>5</v>
      </c>
      <c r="M21" s="5" t="s">
        <v>114</v>
      </c>
      <c r="N21" s="5" t="s">
        <v>115</v>
      </c>
      <c r="O21" s="5" t="s">
        <v>116</v>
      </c>
      <c r="Q21" s="5" t="s">
        <v>117</v>
      </c>
      <c r="R21" s="5">
        <f t="shared" si="0"/>
        <v>68</v>
      </c>
      <c r="S21" s="5" t="str">
        <f ca="1">IFERROR(__xludf.dummyfunction("""COMPUTED_VALUE"""),"NHÓM 3")</f>
        <v>NHÓM 3</v>
      </c>
      <c r="T21" s="5" t="str">
        <f ca="1">IFERROR(__xludf.dummyfunction("""COMPUTED_VALUE"""),"NHÓM 6")</f>
        <v>NHÓM 6</v>
      </c>
      <c r="U21" s="5" t="str">
        <f ca="1">IFERROR(__xludf.dummyfunction("IF(B21="""","""",""Zone ""&amp;IFERROR(VALUE(REGEXEXTRACT(TRIM(B21),""\d+"")),REGEXEXTRACT(TRIM(B21),""\d+"")))"),"Zone 2")</f>
        <v>Zone 2</v>
      </c>
    </row>
    <row r="22" spans="1:21" ht="22.5" hidden="1" customHeight="1" x14ac:dyDescent="0.25">
      <c r="A22" s="4">
        <v>46134.678739687501</v>
      </c>
      <c r="B22" s="5" t="s">
        <v>33</v>
      </c>
      <c r="C22" s="5" t="s">
        <v>44</v>
      </c>
      <c r="D22" s="5" t="s">
        <v>34</v>
      </c>
      <c r="E22" s="5" t="s">
        <v>118</v>
      </c>
      <c r="F22" s="5">
        <v>15</v>
      </c>
      <c r="G22" s="5">
        <v>20</v>
      </c>
      <c r="H22" s="5">
        <v>20</v>
      </c>
      <c r="I22" s="5">
        <v>15</v>
      </c>
      <c r="J22" s="5">
        <v>10</v>
      </c>
      <c r="L22" s="5">
        <v>5</v>
      </c>
      <c r="M22" s="5" t="s">
        <v>119</v>
      </c>
      <c r="N22" s="5" t="s">
        <v>120</v>
      </c>
      <c r="O22" s="5" t="s">
        <v>121</v>
      </c>
      <c r="Q22" s="5" t="s">
        <v>122</v>
      </c>
      <c r="R22" s="5">
        <f t="shared" si="0"/>
        <v>85</v>
      </c>
      <c r="S22" s="5" t="str">
        <f ca="1">IFERROR(__xludf.dummyfunction("""COMPUTED_VALUE"""),"NHÓM 4")</f>
        <v>NHÓM 4</v>
      </c>
      <c r="T22" s="5" t="str">
        <f ca="1">IFERROR(__xludf.dummyfunction("""COMPUTED_VALUE"""),"NHÓM 3")</f>
        <v>NHÓM 3</v>
      </c>
      <c r="U22" s="5" t="str">
        <f ca="1">IFERROR(__xludf.dummyfunction("IF(B22="""","""",""Zone ""&amp;IFERROR(VALUE(REGEXEXTRACT(TRIM(B22),""\d+"")),REGEXEXTRACT(TRIM(B22),""\d+"")))"),"Zone 4")</f>
        <v>Zone 4</v>
      </c>
    </row>
    <row r="23" spans="1:21" ht="22.5" hidden="1" customHeight="1" x14ac:dyDescent="0.25">
      <c r="A23" s="4">
        <v>46134.678816273197</v>
      </c>
      <c r="B23" s="5" t="s">
        <v>73</v>
      </c>
      <c r="C23" s="5" t="s">
        <v>74</v>
      </c>
      <c r="D23" s="5" t="s">
        <v>75</v>
      </c>
      <c r="E23" s="5" t="s">
        <v>123</v>
      </c>
      <c r="F23" s="5">
        <v>15</v>
      </c>
      <c r="G23" s="5">
        <v>20</v>
      </c>
      <c r="H23" s="5">
        <v>20</v>
      </c>
      <c r="I23" s="5">
        <v>15</v>
      </c>
      <c r="J23" s="5">
        <v>10</v>
      </c>
      <c r="L23" s="5">
        <v>5</v>
      </c>
      <c r="M23" s="5" t="s">
        <v>124</v>
      </c>
      <c r="N23" s="5" t="s">
        <v>125</v>
      </c>
      <c r="O23" s="5" t="s">
        <v>126</v>
      </c>
      <c r="Q23" s="5" t="s">
        <v>50</v>
      </c>
      <c r="R23" s="5">
        <f t="shared" si="0"/>
        <v>85</v>
      </c>
      <c r="S23" s="5" t="str">
        <f ca="1">IFERROR(__xludf.dummyfunction("""COMPUTED_VALUE"""),"NHÓM 2")</f>
        <v>NHÓM 2</v>
      </c>
      <c r="T23" s="5" t="str">
        <f ca="1">IFERROR(__xludf.dummyfunction("""COMPUTED_VALUE"""),"NHÓM 1")</f>
        <v>NHÓM 1</v>
      </c>
      <c r="U23" s="5" t="str">
        <f ca="1">IFERROR(__xludf.dummyfunction("IF(B23="""","""",""Zone ""&amp;IFERROR(VALUE(REGEXEXTRACT(TRIM(B23),""\d+"")),REGEXEXTRACT(TRIM(B23),""\d+"")))"),"Zone 3")</f>
        <v>Zone 3</v>
      </c>
    </row>
    <row r="24" spans="1:21" ht="22.5" hidden="1" customHeight="1" x14ac:dyDescent="0.25">
      <c r="A24" s="4">
        <v>46134.679331678199</v>
      </c>
      <c r="B24" s="5" t="s">
        <v>127</v>
      </c>
      <c r="C24" s="5" t="s">
        <v>128</v>
      </c>
      <c r="D24" s="5" t="s">
        <v>101</v>
      </c>
      <c r="E24" s="5" t="s">
        <v>129</v>
      </c>
      <c r="F24" s="5">
        <v>15</v>
      </c>
      <c r="G24" s="5">
        <v>12</v>
      </c>
      <c r="H24" s="5">
        <v>16</v>
      </c>
      <c r="I24" s="5">
        <v>12</v>
      </c>
      <c r="J24" s="5">
        <v>8</v>
      </c>
      <c r="L24" s="5">
        <v>4</v>
      </c>
      <c r="M24" s="5" t="s">
        <v>130</v>
      </c>
      <c r="N24" s="5" t="s">
        <v>131</v>
      </c>
      <c r="O24" s="5" t="s">
        <v>132</v>
      </c>
      <c r="R24" s="5">
        <f t="shared" si="0"/>
        <v>67</v>
      </c>
      <c r="S24" s="5" t="str">
        <f ca="1">IFERROR(__xludf.dummyfunction("""COMPUTED_VALUE"""),"NHÓM 3")</f>
        <v>NHÓM 3</v>
      </c>
      <c r="T24" s="5" t="str">
        <f ca="1">IFERROR(__xludf.dummyfunction("""COMPUTED_VALUE"""),"NHÓM 2")</f>
        <v>NHÓM 2</v>
      </c>
      <c r="U24" s="5" t="str">
        <f ca="1">IFERROR(__xludf.dummyfunction("IF(B24="""","""",""Zone ""&amp;IFERROR(VALUE(REGEXEXTRACT(TRIM(B24),""\d+"")),REGEXEXTRACT(TRIM(B24),""\d+"")))"),"Zone 6")</f>
        <v>Zone 6</v>
      </c>
    </row>
    <row r="25" spans="1:21" ht="22.5" hidden="1" customHeight="1" x14ac:dyDescent="0.25">
      <c r="A25" s="4">
        <v>46134.679419178203</v>
      </c>
      <c r="B25" s="5" t="s">
        <v>106</v>
      </c>
      <c r="C25" s="5" t="s">
        <v>112</v>
      </c>
      <c r="D25" s="5" t="s">
        <v>133</v>
      </c>
      <c r="E25" s="5" t="s">
        <v>134</v>
      </c>
      <c r="F25" s="5">
        <v>15</v>
      </c>
      <c r="G25" s="5">
        <v>20</v>
      </c>
      <c r="H25" s="5">
        <v>20</v>
      </c>
      <c r="I25" s="5">
        <v>15</v>
      </c>
      <c r="J25" s="5">
        <v>10</v>
      </c>
      <c r="L25" s="5">
        <v>5</v>
      </c>
      <c r="M25" s="5" t="s">
        <v>135</v>
      </c>
      <c r="N25" s="5" t="s">
        <v>136</v>
      </c>
      <c r="O25" s="5" t="s">
        <v>137</v>
      </c>
      <c r="Q25" s="5" t="s">
        <v>40</v>
      </c>
      <c r="R25" s="5">
        <f t="shared" si="0"/>
        <v>85</v>
      </c>
      <c r="S25" s="5" t="str">
        <f ca="1">IFERROR(__xludf.dummyfunction("""COMPUTED_VALUE"""),"NHÓM 5")</f>
        <v>NHÓM 5</v>
      </c>
      <c r="T25" s="5" t="str">
        <f ca="1">IFERROR(__xludf.dummyfunction("""COMPUTED_VALUE"""),"NHÓM 6")</f>
        <v>NHÓM 6</v>
      </c>
      <c r="U25" s="5" t="str">
        <f ca="1">IFERROR(__xludf.dummyfunction("IF(B25="""","""",""Zone ""&amp;IFERROR(VALUE(REGEXEXTRACT(TRIM(B25),""\d+"")),REGEXEXTRACT(TRIM(B25),""\d+"")))"),"Zone 2")</f>
        <v>Zone 2</v>
      </c>
    </row>
    <row r="26" spans="1:21" ht="22.5" hidden="1" customHeight="1" x14ac:dyDescent="0.25">
      <c r="A26" s="4">
        <v>46134.679524733801</v>
      </c>
      <c r="B26" s="5" t="s">
        <v>33</v>
      </c>
      <c r="C26" s="5" t="s">
        <v>34</v>
      </c>
      <c r="D26" s="5" t="s">
        <v>44</v>
      </c>
      <c r="E26" s="5" t="s">
        <v>36</v>
      </c>
      <c r="F26" s="5">
        <v>15</v>
      </c>
      <c r="G26" s="5">
        <v>20</v>
      </c>
      <c r="H26" s="5">
        <v>20</v>
      </c>
      <c r="I26" s="5">
        <v>15</v>
      </c>
      <c r="J26" s="5">
        <v>10</v>
      </c>
      <c r="L26" s="5">
        <v>5</v>
      </c>
      <c r="M26" s="5" t="s">
        <v>138</v>
      </c>
      <c r="N26" s="5" t="s">
        <v>139</v>
      </c>
      <c r="O26" s="5" t="s">
        <v>140</v>
      </c>
      <c r="Q26" s="5" t="s">
        <v>40</v>
      </c>
      <c r="R26" s="5">
        <f t="shared" si="0"/>
        <v>85</v>
      </c>
      <c r="S26" s="5" t="str">
        <f ca="1">IFERROR(__xludf.dummyfunction("""COMPUTED_VALUE"""),"NHÓM 3")</f>
        <v>NHÓM 3</v>
      </c>
      <c r="T26" s="5" t="str">
        <f ca="1">IFERROR(__xludf.dummyfunction("""COMPUTED_VALUE"""),"NHÓM 4")</f>
        <v>NHÓM 4</v>
      </c>
      <c r="U26" s="5" t="str">
        <f ca="1">IFERROR(__xludf.dummyfunction("IF(B26="""","""",""Zone ""&amp;IFERROR(VALUE(REGEXEXTRACT(TRIM(B26),""\d+"")),REGEXEXTRACT(TRIM(B26),""\d+"")))"),"Zone 4")</f>
        <v>Zone 4</v>
      </c>
    </row>
    <row r="27" spans="1:21" ht="22.5" hidden="1" customHeight="1" x14ac:dyDescent="0.25">
      <c r="A27" s="4">
        <v>46134.679664143499</v>
      </c>
      <c r="B27" s="5" t="s">
        <v>106</v>
      </c>
      <c r="C27" s="5" t="s">
        <v>141</v>
      </c>
      <c r="D27" s="5" t="s">
        <v>113</v>
      </c>
      <c r="E27" s="5" t="s">
        <v>108</v>
      </c>
      <c r="F27" s="5">
        <v>12</v>
      </c>
      <c r="G27" s="5">
        <v>16</v>
      </c>
      <c r="H27" s="5">
        <v>16</v>
      </c>
      <c r="I27" s="5">
        <v>12</v>
      </c>
      <c r="J27" s="5">
        <v>8</v>
      </c>
      <c r="L27" s="5">
        <v>5</v>
      </c>
      <c r="M27" s="5" t="s">
        <v>142</v>
      </c>
      <c r="N27" s="5" t="s">
        <v>143</v>
      </c>
      <c r="O27" s="5" t="s">
        <v>144</v>
      </c>
      <c r="R27" s="5">
        <f t="shared" si="0"/>
        <v>69</v>
      </c>
      <c r="S27" s="5" t="str">
        <f ca="1">IFERROR(__xludf.dummyfunction("""COMPUTED_VALUE"""),"NHÓM 3")</f>
        <v>NHÓM 3</v>
      </c>
      <c r="T27" s="5" t="str">
        <f ca="1">IFERROR(__xludf.dummyfunction("""COMPUTED_VALUE"""),"NHÓM 4")</f>
        <v>NHÓM 4</v>
      </c>
      <c r="U27" s="5" t="str">
        <f ca="1">IFERROR(__xludf.dummyfunction("IF(B27="""","""",""Zone ""&amp;IFERROR(VALUE(REGEXEXTRACT(TRIM(B27),""\d+"")),REGEXEXTRACT(TRIM(B27),""\d+"")))"),"Zone 2")</f>
        <v>Zone 2</v>
      </c>
    </row>
    <row r="28" spans="1:21" ht="22.5" customHeight="1" x14ac:dyDescent="0.25">
      <c r="A28" s="4">
        <v>46134.679668067103</v>
      </c>
      <c r="B28" s="5" t="s">
        <v>73</v>
      </c>
      <c r="C28" s="5" t="s">
        <v>80</v>
      </c>
      <c r="D28" s="5" t="s">
        <v>75</v>
      </c>
      <c r="E28" s="5" t="s">
        <v>76</v>
      </c>
      <c r="F28" s="5">
        <v>12</v>
      </c>
      <c r="G28" s="5">
        <v>16</v>
      </c>
      <c r="H28" s="5">
        <v>16</v>
      </c>
      <c r="I28" s="5">
        <v>12</v>
      </c>
      <c r="J28" s="5">
        <v>8</v>
      </c>
      <c r="L28" s="5">
        <v>4</v>
      </c>
      <c r="M28" s="5" t="s">
        <v>145</v>
      </c>
      <c r="N28" s="5" t="s">
        <v>146</v>
      </c>
      <c r="O28" s="5" t="s">
        <v>147</v>
      </c>
      <c r="R28" s="5">
        <f t="shared" si="0"/>
        <v>68</v>
      </c>
      <c r="S28" s="5" t="str">
        <f ca="1">IFERROR(__xludf.dummyfunction("""COMPUTED_VALUE"""),"NHÓM 2")</f>
        <v>NHÓM 2</v>
      </c>
      <c r="T28" s="5" t="str">
        <f ca="1">IFERROR(__xludf.dummyfunction("""COMPUTED_VALUE"""),"NHÓM 4")</f>
        <v>NHÓM 4</v>
      </c>
      <c r="U28" s="5" t="str">
        <f ca="1">IFERROR(__xludf.dummyfunction("IF(B28="""","""",""Zone ""&amp;IFERROR(VALUE(REGEXEXTRACT(TRIM(B28),""\d+"")),REGEXEXTRACT(TRIM(B28),""\d+"")))"),"Zone 3")</f>
        <v>Zone 3</v>
      </c>
    </row>
    <row r="29" spans="1:21" ht="22.5" hidden="1" customHeight="1" x14ac:dyDescent="0.25">
      <c r="A29" s="4">
        <v>46134.679777696801</v>
      </c>
      <c r="B29" s="5" t="s">
        <v>33</v>
      </c>
      <c r="C29" s="5" t="s">
        <v>51</v>
      </c>
      <c r="D29" s="5" t="s">
        <v>148</v>
      </c>
      <c r="E29" s="5" t="s">
        <v>149</v>
      </c>
      <c r="F29" s="5">
        <v>15</v>
      </c>
      <c r="G29" s="5">
        <v>20</v>
      </c>
      <c r="H29" s="5">
        <v>20</v>
      </c>
      <c r="I29" s="5">
        <v>12</v>
      </c>
      <c r="J29" s="5">
        <v>10</v>
      </c>
      <c r="L29" s="5">
        <v>5</v>
      </c>
      <c r="M29" s="5" t="s">
        <v>150</v>
      </c>
      <c r="N29" s="5" t="s">
        <v>151</v>
      </c>
      <c r="O29" s="5" t="s">
        <v>152</v>
      </c>
      <c r="Q29" s="5" t="s">
        <v>50</v>
      </c>
      <c r="R29" s="5">
        <f t="shared" si="0"/>
        <v>82</v>
      </c>
      <c r="S29" s="5" t="str">
        <f ca="1">IFERROR(__xludf.dummyfunction("""COMPUTED_VALUE"""),"NHÓM 5")</f>
        <v>NHÓM 5</v>
      </c>
      <c r="T29" s="5" t="str">
        <f ca="1">IFERROR(__xludf.dummyfunction("""COMPUTED_VALUE"""),"NHÓM 1")</f>
        <v>NHÓM 1</v>
      </c>
      <c r="U29" s="5" t="str">
        <f ca="1">IFERROR(__xludf.dummyfunction("IF(B29="""","""",""Zone ""&amp;IFERROR(VALUE(REGEXEXTRACT(TRIM(B29),""\d+"")),REGEXEXTRACT(TRIM(B29),""\d+"")))"),"Zone 4")</f>
        <v>Zone 4</v>
      </c>
    </row>
    <row r="30" spans="1:21" ht="22.5" hidden="1" customHeight="1" x14ac:dyDescent="0.25">
      <c r="A30" s="4">
        <v>46134.679843194499</v>
      </c>
      <c r="B30" s="5" t="s">
        <v>33</v>
      </c>
      <c r="C30" s="5" t="s">
        <v>51</v>
      </c>
      <c r="D30" s="5" t="s">
        <v>148</v>
      </c>
      <c r="E30" s="5" t="s">
        <v>149</v>
      </c>
      <c r="F30" s="5">
        <v>15</v>
      </c>
      <c r="G30" s="5">
        <v>20</v>
      </c>
      <c r="H30" s="5">
        <v>20</v>
      </c>
      <c r="I30" s="5">
        <v>12</v>
      </c>
      <c r="J30" s="5">
        <v>10</v>
      </c>
      <c r="L30" s="5">
        <v>5</v>
      </c>
      <c r="M30" s="5" t="s">
        <v>150</v>
      </c>
      <c r="N30" s="5" t="s">
        <v>151</v>
      </c>
      <c r="O30" s="5" t="s">
        <v>152</v>
      </c>
      <c r="Q30" s="5" t="s">
        <v>50</v>
      </c>
      <c r="R30" s="5">
        <f t="shared" si="0"/>
        <v>82</v>
      </c>
      <c r="S30" s="5" t="str">
        <f ca="1">IFERROR(__xludf.dummyfunction("""COMPUTED_VALUE"""),"NHÓM 5")</f>
        <v>NHÓM 5</v>
      </c>
      <c r="T30" s="5" t="str">
        <f ca="1">IFERROR(__xludf.dummyfunction("""COMPUTED_VALUE"""),"NHÓM 1")</f>
        <v>NHÓM 1</v>
      </c>
      <c r="U30" s="5" t="str">
        <f ca="1">IFERROR(__xludf.dummyfunction("IF(B30="""","""",""Zone ""&amp;IFERROR(VALUE(REGEXEXTRACT(TRIM(B30),""\d+"")),REGEXEXTRACT(TRIM(B30),""\d+"")))"),"Zone 4")</f>
        <v>Zone 4</v>
      </c>
    </row>
    <row r="31" spans="1:21" ht="22.5" hidden="1" customHeight="1" x14ac:dyDescent="0.25">
      <c r="A31" s="4">
        <v>46134.6798650579</v>
      </c>
      <c r="B31" s="5">
        <v>4</v>
      </c>
      <c r="C31" s="5" t="s">
        <v>45</v>
      </c>
      <c r="D31" s="5" t="s">
        <v>44</v>
      </c>
      <c r="E31" s="5" t="s">
        <v>153</v>
      </c>
      <c r="F31" s="5">
        <v>12</v>
      </c>
      <c r="G31" s="5">
        <v>20</v>
      </c>
      <c r="H31" s="5">
        <v>20</v>
      </c>
      <c r="I31" s="5">
        <v>15</v>
      </c>
      <c r="J31" s="5">
        <v>10</v>
      </c>
      <c r="L31" s="5">
        <v>4</v>
      </c>
      <c r="M31" s="5" t="s">
        <v>154</v>
      </c>
      <c r="N31" s="5" t="s">
        <v>155</v>
      </c>
      <c r="O31" s="5" t="s">
        <v>156</v>
      </c>
      <c r="Q31" s="5" t="s">
        <v>72</v>
      </c>
      <c r="R31" s="5">
        <f t="shared" si="0"/>
        <v>81</v>
      </c>
      <c r="S31" s="5" t="str">
        <f ca="1">IFERROR(__xludf.dummyfunction("""COMPUTED_VALUE"""),"NHÓM 3")</f>
        <v>NHÓM 3</v>
      </c>
      <c r="T31" s="5" t="str">
        <f ca="1">IFERROR(__xludf.dummyfunction("""COMPUTED_VALUE"""),"NHÓM 2")</f>
        <v>NHÓM 2</v>
      </c>
      <c r="U31" s="5" t="str">
        <f ca="1">IFERROR(__xludf.dummyfunction("IF(B31="""","""",""Zone ""&amp;IFERROR(VALUE(REGEXEXTRACT(TRIM(B31),""\d+"")),REGEXEXTRACT(TRIM(B31),""\d+"")))"),"Zone 4")</f>
        <v>Zone 4</v>
      </c>
    </row>
    <row r="32" spans="1:21" ht="22.5" hidden="1" customHeight="1" x14ac:dyDescent="0.25">
      <c r="A32" s="4">
        <v>46134.679965439798</v>
      </c>
      <c r="B32" s="5">
        <v>3</v>
      </c>
      <c r="C32" s="5" t="s">
        <v>23</v>
      </c>
      <c r="D32" s="5">
        <v>14</v>
      </c>
      <c r="E32" s="5" t="s">
        <v>157</v>
      </c>
      <c r="F32" s="5">
        <v>12</v>
      </c>
      <c r="G32" s="5">
        <v>16</v>
      </c>
      <c r="H32" s="5">
        <v>16</v>
      </c>
      <c r="I32" s="5">
        <v>12</v>
      </c>
      <c r="J32" s="5">
        <v>8</v>
      </c>
      <c r="L32" s="5">
        <v>4</v>
      </c>
      <c r="M32" s="5" t="s">
        <v>158</v>
      </c>
      <c r="N32" s="5" t="s">
        <v>159</v>
      </c>
      <c r="O32" s="5" t="s">
        <v>160</v>
      </c>
      <c r="Q32" s="5" t="s">
        <v>161</v>
      </c>
      <c r="R32" s="5">
        <f t="shared" si="0"/>
        <v>68</v>
      </c>
      <c r="S32" s="5" t="str">
        <f ca="1">IFERROR(__xludf.dummyfunction("""COMPUTED_VALUE"""),"NHÓM 2")</f>
        <v>NHÓM 2</v>
      </c>
      <c r="T32" s="5" t="str">
        <f ca="1">IFERROR(__xludf.dummyfunction("""COMPUTED_VALUE"""),"NHÓM 5")</f>
        <v>NHÓM 5</v>
      </c>
      <c r="U32" s="5" t="str">
        <f ca="1">IFERROR(__xludf.dummyfunction("IF(B32="""","""",""Zone ""&amp;IFERROR(VALUE(REGEXEXTRACT(TRIM(B32),""\d+"")),REGEXEXTRACT(TRIM(B32),""\d+"")))"),"Zone 3")</f>
        <v>Zone 3</v>
      </c>
    </row>
    <row r="33" spans="1:21" ht="22.5" hidden="1" customHeight="1" x14ac:dyDescent="0.25">
      <c r="A33" s="4">
        <v>46134.680030057898</v>
      </c>
      <c r="B33" s="5">
        <v>5</v>
      </c>
      <c r="C33" s="5">
        <v>26</v>
      </c>
      <c r="D33" s="5">
        <v>24</v>
      </c>
      <c r="E33" s="5" t="s">
        <v>81</v>
      </c>
      <c r="F33" s="5">
        <v>9</v>
      </c>
      <c r="G33" s="5">
        <v>16</v>
      </c>
      <c r="H33" s="5">
        <v>16</v>
      </c>
      <c r="I33" s="5">
        <v>12</v>
      </c>
      <c r="J33" s="5">
        <v>8</v>
      </c>
      <c r="L33" s="5">
        <v>4</v>
      </c>
      <c r="M33" s="5" t="s">
        <v>162</v>
      </c>
      <c r="N33" s="5" t="s">
        <v>163</v>
      </c>
      <c r="O33" s="5" t="s">
        <v>164</v>
      </c>
      <c r="R33" s="5">
        <f t="shared" si="0"/>
        <v>65</v>
      </c>
      <c r="S33" s="5" t="str">
        <f ca="1">IFERROR(__xludf.dummyfunction("""COMPUTED_VALUE"""),"NHÓM 6")</f>
        <v>NHÓM 6</v>
      </c>
      <c r="T33" s="5" t="str">
        <f ca="1">IFERROR(__xludf.dummyfunction("""COMPUTED_VALUE"""),"NHÓM 2")</f>
        <v>NHÓM 2</v>
      </c>
      <c r="U33" s="5" t="str">
        <f ca="1">IFERROR(__xludf.dummyfunction("IF(B33="""","""",""Zone ""&amp;IFERROR(VALUE(REGEXEXTRACT(TRIM(B33),""\d+"")),REGEXEXTRACT(TRIM(B33),""\d+"")))"),"Zone 5")</f>
        <v>Zone 5</v>
      </c>
    </row>
    <row r="34" spans="1:21" ht="22.5" hidden="1" customHeight="1" x14ac:dyDescent="0.25">
      <c r="A34" s="4">
        <v>46134.680522407398</v>
      </c>
      <c r="B34" s="5" t="s">
        <v>106</v>
      </c>
      <c r="C34" s="5" t="s">
        <v>74</v>
      </c>
      <c r="D34" s="5" t="s">
        <v>107</v>
      </c>
      <c r="E34" s="5" t="s">
        <v>108</v>
      </c>
      <c r="F34" s="5">
        <v>12</v>
      </c>
      <c r="G34" s="5">
        <v>16</v>
      </c>
      <c r="H34" s="5">
        <v>16</v>
      </c>
      <c r="I34" s="5">
        <v>12</v>
      </c>
      <c r="J34" s="5">
        <v>8</v>
      </c>
      <c r="L34" s="5">
        <v>5</v>
      </c>
      <c r="M34" s="5" t="s">
        <v>165</v>
      </c>
      <c r="N34" s="5" t="s">
        <v>166</v>
      </c>
      <c r="O34" s="5" t="s">
        <v>167</v>
      </c>
      <c r="Q34" s="5" t="s">
        <v>168</v>
      </c>
      <c r="R34" s="5">
        <f t="shared" si="0"/>
        <v>69</v>
      </c>
      <c r="S34" s="5" t="str">
        <f ca="1">IFERROR(__xludf.dummyfunction("""COMPUTED_VALUE"""),"NHÓM 3")</f>
        <v>NHÓM 3</v>
      </c>
      <c r="T34" s="5" t="str">
        <f ca="1">IFERROR(__xludf.dummyfunction("""COMPUTED_VALUE"""),"NHÓM 1")</f>
        <v>NHÓM 1</v>
      </c>
      <c r="U34" s="5" t="str">
        <f ca="1">IFERROR(__xludf.dummyfunction("IF(B34="""","""",""Zone ""&amp;IFERROR(VALUE(REGEXEXTRACT(TRIM(B34),""\d+"")),REGEXEXTRACT(TRIM(B34),""\d+"")))"),"Zone 2")</f>
        <v>Zone 2</v>
      </c>
    </row>
    <row r="35" spans="1:21" ht="22.5" hidden="1" customHeight="1" x14ac:dyDescent="0.25">
      <c r="A35" s="4">
        <v>46134.681308460698</v>
      </c>
      <c r="B35" s="5">
        <v>4</v>
      </c>
      <c r="C35" s="5">
        <v>23</v>
      </c>
      <c r="D35" s="5">
        <v>19</v>
      </c>
      <c r="E35" s="5" t="s">
        <v>169</v>
      </c>
      <c r="F35" s="5">
        <v>15</v>
      </c>
      <c r="G35" s="5">
        <v>20</v>
      </c>
      <c r="H35" s="5">
        <v>12</v>
      </c>
      <c r="I35" s="5">
        <v>12</v>
      </c>
      <c r="J35" s="5">
        <v>8</v>
      </c>
      <c r="L35" s="5">
        <v>4</v>
      </c>
      <c r="M35" s="5" t="s">
        <v>170</v>
      </c>
      <c r="N35" s="5" t="s">
        <v>171</v>
      </c>
      <c r="O35" s="5" t="s">
        <v>172</v>
      </c>
      <c r="Q35" s="5" t="s">
        <v>50</v>
      </c>
      <c r="R35" s="5">
        <f t="shared" si="0"/>
        <v>71</v>
      </c>
      <c r="S35" s="5" t="str">
        <f ca="1">IFERROR(__xludf.dummyfunction("""COMPUTED_VALUE"""),"NHÓM 1")</f>
        <v>NHÓM 1</v>
      </c>
      <c r="T35" s="5" t="str">
        <f ca="1">IFERROR(__xludf.dummyfunction("""COMPUTED_VALUE"""),"NHÓM 5")</f>
        <v>NHÓM 5</v>
      </c>
      <c r="U35" s="5" t="str">
        <f ca="1">IFERROR(__xludf.dummyfunction("IF(B35="""","""",""Zone ""&amp;IFERROR(VALUE(REGEXEXTRACT(TRIM(B35),""\d+"")),REGEXEXTRACT(TRIM(B35),""\d+"")))"),"Zone 4")</f>
        <v>Zone 4</v>
      </c>
    </row>
    <row r="36" spans="1:21" ht="22.5" hidden="1" customHeight="1" x14ac:dyDescent="0.25">
      <c r="A36" s="4">
        <v>46134.681400486101</v>
      </c>
      <c r="B36" s="5" t="s">
        <v>106</v>
      </c>
      <c r="C36" s="5" t="s">
        <v>133</v>
      </c>
      <c r="D36" s="5" t="s">
        <v>113</v>
      </c>
      <c r="E36" s="5" t="s">
        <v>173</v>
      </c>
      <c r="F36" s="5">
        <v>12</v>
      </c>
      <c r="G36" s="5">
        <v>12</v>
      </c>
      <c r="H36" s="5">
        <v>8</v>
      </c>
      <c r="I36" s="5">
        <v>9</v>
      </c>
      <c r="J36" s="5">
        <v>6</v>
      </c>
      <c r="L36" s="5">
        <v>3</v>
      </c>
      <c r="M36" s="5" t="s">
        <v>174</v>
      </c>
      <c r="N36" s="5" t="s">
        <v>175</v>
      </c>
      <c r="O36" s="5" t="s">
        <v>176</v>
      </c>
      <c r="R36" s="5">
        <f t="shared" si="0"/>
        <v>50</v>
      </c>
      <c r="S36" s="5" t="str">
        <f ca="1">IFERROR(__xludf.dummyfunction("""COMPUTED_VALUE"""),"NHÓM 3")</f>
        <v>NHÓM 3</v>
      </c>
      <c r="T36" s="5" t="str">
        <f ca="1">IFERROR(__xludf.dummyfunction("""COMPUTED_VALUE"""),"NHÓM 5")</f>
        <v>NHÓM 5</v>
      </c>
      <c r="U36" s="5" t="str">
        <f ca="1">IFERROR(__xludf.dummyfunction("IF(B36="""","""",""Zone ""&amp;IFERROR(VALUE(REGEXEXTRACT(TRIM(B36),""\d+"")),REGEXEXTRACT(TRIM(B36),""\d+"")))"),"Zone 2")</f>
        <v>Zone 2</v>
      </c>
    </row>
    <row r="37" spans="1:21" ht="22.5" hidden="1" customHeight="1" x14ac:dyDescent="0.25">
      <c r="A37" s="4">
        <v>46134.6819236343</v>
      </c>
      <c r="B37" s="5" t="s">
        <v>33</v>
      </c>
      <c r="C37" s="5" t="s">
        <v>34</v>
      </c>
      <c r="D37" s="5" t="s">
        <v>51</v>
      </c>
      <c r="E37" s="5" t="s">
        <v>177</v>
      </c>
      <c r="F37" s="5">
        <v>15</v>
      </c>
      <c r="G37" s="5">
        <v>20</v>
      </c>
      <c r="H37" s="5">
        <v>20</v>
      </c>
      <c r="I37" s="5">
        <v>15</v>
      </c>
      <c r="J37" s="5">
        <v>10</v>
      </c>
      <c r="L37" s="5">
        <v>5</v>
      </c>
      <c r="M37" s="5" t="s">
        <v>178</v>
      </c>
      <c r="N37" s="5" t="s">
        <v>179</v>
      </c>
      <c r="O37" s="5" t="s">
        <v>180</v>
      </c>
      <c r="Q37" s="5" t="s">
        <v>40</v>
      </c>
      <c r="R37" s="5">
        <f t="shared" si="0"/>
        <v>85</v>
      </c>
      <c r="S37" s="5" t="str">
        <f ca="1">IFERROR(__xludf.dummyfunction("""COMPUTED_VALUE"""),"NHÓM 1")</f>
        <v>NHÓM 1</v>
      </c>
      <c r="T37" s="5" t="str">
        <f ca="1">IFERROR(__xludf.dummyfunction("""COMPUTED_VALUE"""),"NHÓM 4")</f>
        <v>NHÓM 4</v>
      </c>
      <c r="U37" s="5" t="str">
        <f ca="1">IFERROR(__xludf.dummyfunction("IF(B37="""","""",""Zone ""&amp;IFERROR(VALUE(REGEXEXTRACT(TRIM(B37),""\d+"")),REGEXEXTRACT(TRIM(B37),""\d+"")))"),"Zone 4")</f>
        <v>Zone 4</v>
      </c>
    </row>
    <row r="38" spans="1:21" ht="22.5" hidden="1" customHeight="1" x14ac:dyDescent="0.25">
      <c r="A38" s="4">
        <v>46134.681943958298</v>
      </c>
      <c r="B38" s="5">
        <v>4</v>
      </c>
      <c r="C38" s="5">
        <v>21</v>
      </c>
      <c r="D38" s="5">
        <v>19</v>
      </c>
      <c r="E38" s="5" t="s">
        <v>181</v>
      </c>
      <c r="F38" s="5">
        <v>15</v>
      </c>
      <c r="G38" s="5">
        <v>20</v>
      </c>
      <c r="H38" s="5">
        <v>20</v>
      </c>
      <c r="I38" s="5">
        <v>15</v>
      </c>
      <c r="J38" s="5">
        <v>10</v>
      </c>
      <c r="L38" s="5">
        <v>5</v>
      </c>
      <c r="M38" s="5" t="s">
        <v>182</v>
      </c>
      <c r="N38" s="5" t="s">
        <v>183</v>
      </c>
      <c r="O38" s="5" t="s">
        <v>184</v>
      </c>
      <c r="R38" s="5">
        <f t="shared" si="0"/>
        <v>85</v>
      </c>
      <c r="S38" s="5" t="str">
        <f ca="1">IFERROR(__xludf.dummyfunction("""COMPUTED_VALUE"""),"NHÓM 1")</f>
        <v>NHÓM 1</v>
      </c>
      <c r="T38" s="5" t="str">
        <f ca="1">IFERROR(__xludf.dummyfunction("""COMPUTED_VALUE"""),"NHÓM 3")</f>
        <v>NHÓM 3</v>
      </c>
      <c r="U38" s="5" t="str">
        <f ca="1">IFERROR(__xludf.dummyfunction("IF(B38="""","""",""Zone ""&amp;IFERROR(VALUE(REGEXEXTRACT(TRIM(B38),""\d+"")),REGEXEXTRACT(TRIM(B38),""\d+"")))"),"Zone 4")</f>
        <v>Zone 4</v>
      </c>
    </row>
    <row r="39" spans="1:21" ht="22.5" hidden="1" customHeight="1" x14ac:dyDescent="0.25">
      <c r="A39" s="4">
        <v>46134.6821352431</v>
      </c>
      <c r="B39" s="5">
        <v>4</v>
      </c>
      <c r="C39" s="5">
        <v>20</v>
      </c>
      <c r="D39" s="5">
        <v>19</v>
      </c>
      <c r="E39" s="5" t="s">
        <v>185</v>
      </c>
      <c r="F39" s="5">
        <v>15</v>
      </c>
      <c r="G39" s="5">
        <v>20</v>
      </c>
      <c r="H39" s="5">
        <v>16</v>
      </c>
      <c r="I39" s="5">
        <v>12</v>
      </c>
      <c r="J39" s="5">
        <v>10</v>
      </c>
      <c r="L39" s="5">
        <v>5</v>
      </c>
      <c r="M39" s="5" t="s">
        <v>186</v>
      </c>
      <c r="N39" s="5" t="s">
        <v>187</v>
      </c>
      <c r="O39" s="5" t="s">
        <v>188</v>
      </c>
      <c r="Q39" s="5" t="s">
        <v>72</v>
      </c>
      <c r="R39" s="5">
        <f t="shared" si="0"/>
        <v>78</v>
      </c>
      <c r="S39" s="5" t="str">
        <f ca="1">IFERROR(__xludf.dummyfunction("""COMPUTED_VALUE"""),"NHÓM 1")</f>
        <v>NHÓM 1</v>
      </c>
      <c r="T39" s="5" t="str">
        <f ca="1">IFERROR(__xludf.dummyfunction("""COMPUTED_VALUE"""),"NHÓM 2")</f>
        <v>NHÓM 2</v>
      </c>
      <c r="U39" s="5" t="str">
        <f ca="1">IFERROR(__xludf.dummyfunction("IF(B39="""","""",""Zone ""&amp;IFERROR(VALUE(REGEXEXTRACT(TRIM(B39),""\d+"")),REGEXEXTRACT(TRIM(B39),""\d+"")))"),"Zone 4")</f>
        <v>Zone 4</v>
      </c>
    </row>
    <row r="40" spans="1:21" ht="22.5" hidden="1" customHeight="1" x14ac:dyDescent="0.25">
      <c r="A40" s="4">
        <v>46134.682874525497</v>
      </c>
      <c r="B40" s="5" t="s">
        <v>33</v>
      </c>
      <c r="C40" s="5" t="s">
        <v>35</v>
      </c>
      <c r="D40" s="5" t="s">
        <v>148</v>
      </c>
      <c r="E40" s="5" t="s">
        <v>189</v>
      </c>
      <c r="F40" s="5">
        <v>15</v>
      </c>
      <c r="G40" s="5">
        <v>20</v>
      </c>
      <c r="H40" s="5">
        <v>20</v>
      </c>
      <c r="I40" s="5">
        <v>15</v>
      </c>
      <c r="J40" s="5">
        <v>10</v>
      </c>
      <c r="L40" s="5">
        <v>5</v>
      </c>
      <c r="M40" s="5" t="s">
        <v>190</v>
      </c>
      <c r="N40" s="5" t="s">
        <v>191</v>
      </c>
      <c r="O40" s="5" t="s">
        <v>192</v>
      </c>
      <c r="Q40" s="5" t="s">
        <v>28</v>
      </c>
      <c r="R40" s="5">
        <f t="shared" si="0"/>
        <v>85</v>
      </c>
      <c r="S40" s="5" t="str">
        <f ca="1">IFERROR(__xludf.dummyfunction("""COMPUTED_VALUE"""),"NHÓM 5")</f>
        <v>NHÓM 5</v>
      </c>
      <c r="T40" s="5" t="str">
        <f ca="1">IFERROR(__xludf.dummyfunction("""COMPUTED_VALUE"""),"NHÓM 4")</f>
        <v>NHÓM 4</v>
      </c>
      <c r="U40" s="5" t="str">
        <f ca="1">IFERROR(__xludf.dummyfunction("IF(B40="""","""",""Zone ""&amp;IFERROR(VALUE(REGEXEXTRACT(TRIM(B40),""\d+"")),REGEXEXTRACT(TRIM(B40),""\d+"")))"),"Zone 4")</f>
        <v>Zone 4</v>
      </c>
    </row>
    <row r="41" spans="1:21" ht="22.5" hidden="1" customHeight="1" x14ac:dyDescent="0.25">
      <c r="A41" s="4">
        <v>46134.683490393501</v>
      </c>
      <c r="B41" s="5" t="s">
        <v>127</v>
      </c>
      <c r="C41" s="5" t="s">
        <v>193</v>
      </c>
      <c r="D41" s="5" t="s">
        <v>101</v>
      </c>
      <c r="E41" s="5" t="s">
        <v>129</v>
      </c>
      <c r="F41" s="5">
        <v>9</v>
      </c>
      <c r="G41" s="5">
        <v>12</v>
      </c>
      <c r="H41" s="5">
        <v>16</v>
      </c>
      <c r="I41" s="5">
        <v>9</v>
      </c>
      <c r="J41" s="5">
        <v>4</v>
      </c>
      <c r="L41" s="5">
        <v>5</v>
      </c>
      <c r="M41" s="5" t="s">
        <v>165</v>
      </c>
      <c r="N41" s="5" t="s">
        <v>194</v>
      </c>
      <c r="O41" s="5" t="s">
        <v>195</v>
      </c>
      <c r="Q41" s="5" t="s">
        <v>117</v>
      </c>
      <c r="R41" s="5">
        <f t="shared" si="0"/>
        <v>55</v>
      </c>
      <c r="S41" s="5" t="str">
        <f ca="1">IFERROR(__xludf.dummyfunction("""COMPUTED_VALUE"""),"NHÓM 3")</f>
        <v>NHÓM 3</v>
      </c>
      <c r="T41" s="5" t="str">
        <f ca="1">IFERROR(__xludf.dummyfunction("""COMPUTED_VALUE"""),"NHÓM 6")</f>
        <v>NHÓM 6</v>
      </c>
      <c r="U41" s="5" t="str">
        <f ca="1">IFERROR(__xludf.dummyfunction("IF(B41="""","""",""Zone ""&amp;IFERROR(VALUE(REGEXEXTRACT(TRIM(B41),""\d+"")),REGEXEXTRACT(TRIM(B41),""\d+"")))"),"Zone 6")</f>
        <v>Zone 6</v>
      </c>
    </row>
    <row r="42" spans="1:21" ht="22.5" hidden="1" customHeight="1" x14ac:dyDescent="0.25">
      <c r="A42" s="4">
        <v>46134.684256724497</v>
      </c>
      <c r="B42" s="5" t="s">
        <v>196</v>
      </c>
      <c r="C42" s="5" t="s">
        <v>197</v>
      </c>
      <c r="D42" s="5" t="s">
        <v>75</v>
      </c>
      <c r="E42" s="5" t="s">
        <v>198</v>
      </c>
      <c r="F42" s="5">
        <v>15</v>
      </c>
      <c r="G42" s="5">
        <v>20</v>
      </c>
      <c r="H42" s="5">
        <v>20</v>
      </c>
      <c r="I42" s="5">
        <v>15</v>
      </c>
      <c r="J42" s="5">
        <v>10</v>
      </c>
      <c r="L42" s="5">
        <v>5</v>
      </c>
      <c r="M42" s="5" t="s">
        <v>199</v>
      </c>
      <c r="N42" s="5" t="s">
        <v>200</v>
      </c>
      <c r="O42" s="5" t="s">
        <v>201</v>
      </c>
      <c r="Q42" s="5" t="s">
        <v>202</v>
      </c>
      <c r="R42" s="5">
        <f t="shared" si="0"/>
        <v>85</v>
      </c>
      <c r="S42" s="5" t="str">
        <f ca="1">IFERROR(__xludf.dummyfunction("""COMPUTED_VALUE"""),"NHÓM 2")</f>
        <v>NHÓM 2</v>
      </c>
      <c r="T42" s="5" t="str">
        <f ca="1">IFERROR(__xludf.dummyfunction("""COMPUTED_VALUE"""),"NHÓM 1")</f>
        <v>NHÓM 1</v>
      </c>
      <c r="U42" s="5" t="str">
        <f ca="1">IFERROR(__xludf.dummyfunction("IF(B42="""","""",""Zone ""&amp;IFERROR(VALUE(REGEXEXTRACT(TRIM(B42),""\d+"")),REGEXEXTRACT(TRIM(B42),""\d+"")))"),"Zone 1")</f>
        <v>Zone 1</v>
      </c>
    </row>
    <row r="43" spans="1:21" ht="22.5" hidden="1" customHeight="1" x14ac:dyDescent="0.25">
      <c r="A43" s="4">
        <v>46134.6846484954</v>
      </c>
      <c r="B43" s="5">
        <v>4</v>
      </c>
      <c r="C43" s="5">
        <v>20</v>
      </c>
      <c r="D43" s="5">
        <v>22</v>
      </c>
      <c r="E43" s="5" t="s">
        <v>203</v>
      </c>
      <c r="F43" s="5">
        <v>15</v>
      </c>
      <c r="G43" s="5">
        <v>16</v>
      </c>
      <c r="H43" s="5">
        <v>20</v>
      </c>
      <c r="I43" s="5">
        <v>15</v>
      </c>
      <c r="J43" s="5">
        <v>10</v>
      </c>
      <c r="L43" s="5">
        <v>5</v>
      </c>
      <c r="M43" s="5" t="s">
        <v>204</v>
      </c>
      <c r="N43" s="5" t="s">
        <v>205</v>
      </c>
      <c r="O43" s="5" t="s">
        <v>206</v>
      </c>
      <c r="Q43" s="5" t="s">
        <v>50</v>
      </c>
      <c r="R43" s="5">
        <f t="shared" si="0"/>
        <v>81</v>
      </c>
      <c r="S43" s="5" t="str">
        <f ca="1">IFERROR(__xludf.dummyfunction("""COMPUTED_VALUE"""),"NHÓM 4")</f>
        <v>NHÓM 4</v>
      </c>
      <c r="T43" s="5" t="str">
        <f ca="1">IFERROR(__xludf.dummyfunction("""COMPUTED_VALUE"""),"NHÓM 2")</f>
        <v>NHÓM 2</v>
      </c>
      <c r="U43" s="5" t="str">
        <f ca="1">IFERROR(__xludf.dummyfunction("IF(B43="""","""",""Zone ""&amp;IFERROR(VALUE(REGEXEXTRACT(TRIM(B43),""\d+"")),REGEXEXTRACT(TRIM(B43),""\d+"")))"),"Zone 4")</f>
        <v>Zone 4</v>
      </c>
    </row>
    <row r="44" spans="1:21" ht="22.5" hidden="1" customHeight="1" x14ac:dyDescent="0.25">
      <c r="A44" s="4">
        <v>46134.685340463002</v>
      </c>
      <c r="B44" s="5">
        <v>4</v>
      </c>
      <c r="C44" s="5">
        <v>34</v>
      </c>
      <c r="D44" s="5">
        <v>20</v>
      </c>
      <c r="E44" s="5" t="s">
        <v>207</v>
      </c>
      <c r="F44" s="5">
        <v>9</v>
      </c>
      <c r="G44" s="5">
        <v>8</v>
      </c>
      <c r="H44" s="5">
        <v>8</v>
      </c>
      <c r="I44" s="5">
        <v>6</v>
      </c>
      <c r="J44" s="5">
        <v>4</v>
      </c>
      <c r="L44" s="5">
        <v>5</v>
      </c>
      <c r="M44" s="5" t="s">
        <v>208</v>
      </c>
      <c r="N44" s="5" t="s">
        <v>209</v>
      </c>
      <c r="O44" s="5" t="s">
        <v>210</v>
      </c>
      <c r="R44" s="5">
        <f t="shared" si="0"/>
        <v>40</v>
      </c>
      <c r="S44" s="5" t="str">
        <f ca="1">IFERROR(__xludf.dummyfunction("""COMPUTED_VALUE"""),"NHÓM 2")</f>
        <v>NHÓM 2</v>
      </c>
      <c r="T44" s="5" t="str">
        <f ca="1">IFERROR(__xludf.dummyfunction("""COMPUTED_VALUE"""),"NHÓM 4")</f>
        <v>NHÓM 4</v>
      </c>
      <c r="U44" s="5" t="str">
        <f ca="1">IFERROR(__xludf.dummyfunction("IF(B44="""","""",""Zone ""&amp;IFERROR(VALUE(REGEXEXTRACT(TRIM(B44),""\d+"")),REGEXEXTRACT(TRIM(B44),""\d+"")))"),"Zone 4")</f>
        <v>Zone 4</v>
      </c>
    </row>
    <row r="45" spans="1:21" ht="22.5" hidden="1" customHeight="1" x14ac:dyDescent="0.25">
      <c r="A45" s="4">
        <v>46134.686386180598</v>
      </c>
      <c r="B45" s="5">
        <v>4</v>
      </c>
      <c r="C45" s="5">
        <v>23</v>
      </c>
      <c r="D45" s="5">
        <v>20</v>
      </c>
      <c r="E45" s="5" t="s">
        <v>211</v>
      </c>
      <c r="F45" s="5">
        <v>15</v>
      </c>
      <c r="G45" s="5">
        <v>16</v>
      </c>
      <c r="H45" s="5">
        <v>20</v>
      </c>
      <c r="I45" s="5">
        <v>12</v>
      </c>
      <c r="J45" s="5">
        <v>8</v>
      </c>
      <c r="L45" s="5">
        <v>5</v>
      </c>
      <c r="M45" s="5" t="s">
        <v>212</v>
      </c>
      <c r="N45" s="5" t="s">
        <v>213</v>
      </c>
      <c r="O45" s="5" t="s">
        <v>214</v>
      </c>
      <c r="Q45" s="5" t="s">
        <v>28</v>
      </c>
      <c r="R45" s="5">
        <f t="shared" si="0"/>
        <v>76</v>
      </c>
      <c r="S45" s="5" t="str">
        <f ca="1">IFERROR(__xludf.dummyfunction("""COMPUTED_VALUE"""),"NHÓM 2")</f>
        <v>NHÓM 2</v>
      </c>
      <c r="T45" s="5" t="str">
        <f ca="1">IFERROR(__xludf.dummyfunction("""COMPUTED_VALUE"""),"NHÓM 5")</f>
        <v>NHÓM 5</v>
      </c>
      <c r="U45" s="5" t="str">
        <f ca="1">IFERROR(__xludf.dummyfunction("IF(B45="""","""",""Zone ""&amp;IFERROR(VALUE(REGEXEXTRACT(TRIM(B45),""\d+"")),REGEXEXTRACT(TRIM(B45),""\d+"")))"),"Zone 4")</f>
        <v>Zone 4</v>
      </c>
    </row>
    <row r="46" spans="1:21" ht="22.5" hidden="1" customHeight="1" x14ac:dyDescent="0.25">
      <c r="A46" s="4">
        <v>46134.688103831002</v>
      </c>
      <c r="B46" s="5" t="s">
        <v>196</v>
      </c>
      <c r="C46" s="5" t="s">
        <v>215</v>
      </c>
      <c r="D46" s="5" t="s">
        <v>75</v>
      </c>
      <c r="E46" s="5" t="s">
        <v>216</v>
      </c>
      <c r="F46" s="5">
        <v>12</v>
      </c>
      <c r="G46" s="5">
        <v>16</v>
      </c>
      <c r="H46" s="5">
        <v>16</v>
      </c>
      <c r="I46" s="5">
        <v>12</v>
      </c>
      <c r="J46" s="5">
        <v>8</v>
      </c>
      <c r="L46" s="5">
        <v>4</v>
      </c>
      <c r="M46" s="5" t="s">
        <v>217</v>
      </c>
      <c r="N46" s="5" t="s">
        <v>218</v>
      </c>
      <c r="O46" s="5" t="s">
        <v>219</v>
      </c>
      <c r="Q46" s="5" t="s">
        <v>220</v>
      </c>
      <c r="R46" s="5">
        <f t="shared" si="0"/>
        <v>68</v>
      </c>
      <c r="S46" s="5" t="str">
        <f ca="1">IFERROR(__xludf.dummyfunction("""COMPUTED_VALUE"""),"NHÓM 2")</f>
        <v>NHÓM 2</v>
      </c>
      <c r="T46" s="5" t="str">
        <f ca="1">IFERROR(__xludf.dummyfunction("""COMPUTED_VALUE"""),"NHÓM 5")</f>
        <v>NHÓM 5</v>
      </c>
      <c r="U46" s="5" t="str">
        <f ca="1">IFERROR(__xludf.dummyfunction("IF(B46="""","""",""Zone ""&amp;IFERROR(VALUE(REGEXEXTRACT(TRIM(B46),""\d+"")),REGEXEXTRACT(TRIM(B46),""\d+"")))"),"Zone 1")</f>
        <v>Zone 1</v>
      </c>
    </row>
    <row r="47" spans="1:21" ht="22.5" hidden="1" customHeight="1" x14ac:dyDescent="0.25">
      <c r="A47" s="4">
        <v>46134.6881328241</v>
      </c>
      <c r="B47" s="5" t="s">
        <v>196</v>
      </c>
      <c r="C47" s="5" t="s">
        <v>221</v>
      </c>
      <c r="D47" s="5" t="s">
        <v>74</v>
      </c>
      <c r="E47" s="5" t="s">
        <v>222</v>
      </c>
      <c r="F47" s="5">
        <v>12</v>
      </c>
      <c r="G47" s="5">
        <v>20</v>
      </c>
      <c r="H47" s="5">
        <v>16</v>
      </c>
      <c r="I47" s="5">
        <v>9</v>
      </c>
      <c r="J47" s="5">
        <v>8</v>
      </c>
      <c r="L47" s="5">
        <v>5</v>
      </c>
      <c r="M47" s="5" t="s">
        <v>223</v>
      </c>
      <c r="N47" s="5" t="s">
        <v>224</v>
      </c>
      <c r="O47" s="5" t="s">
        <v>225</v>
      </c>
      <c r="Q47" s="5" t="s">
        <v>220</v>
      </c>
      <c r="R47" s="5">
        <f t="shared" si="0"/>
        <v>70</v>
      </c>
      <c r="S47" s="5" t="str">
        <f ca="1">IFERROR(__xludf.dummyfunction("""COMPUTED_VALUE"""),"NHÓM 1")</f>
        <v>NHÓM 1</v>
      </c>
      <c r="T47" s="5" t="str">
        <f ca="1">IFERROR(__xludf.dummyfunction("""COMPUTED_VALUE"""),"NHÓM 6")</f>
        <v>NHÓM 6</v>
      </c>
      <c r="U47" s="5" t="str">
        <f ca="1">IFERROR(__xludf.dummyfunction("IF(B47="""","""",""Zone ""&amp;IFERROR(VALUE(REGEXEXTRACT(TRIM(B47),""\d+"")),REGEXEXTRACT(TRIM(B47),""\d+"")))"),"Zone 1")</f>
        <v>Zone 1</v>
      </c>
    </row>
    <row r="48" spans="1:21" ht="22.5" hidden="1" customHeight="1" x14ac:dyDescent="0.25">
      <c r="A48" s="4">
        <v>46134.688161597202</v>
      </c>
      <c r="B48" s="5" t="s">
        <v>33</v>
      </c>
      <c r="C48" s="5" t="s">
        <v>51</v>
      </c>
      <c r="D48" s="5" t="s">
        <v>35</v>
      </c>
      <c r="E48" s="5" t="s">
        <v>226</v>
      </c>
      <c r="F48" s="5">
        <v>15</v>
      </c>
      <c r="G48" s="5">
        <v>20</v>
      </c>
      <c r="H48" s="5">
        <v>20</v>
      </c>
      <c r="I48" s="5">
        <v>15</v>
      </c>
      <c r="J48" s="5">
        <v>8</v>
      </c>
      <c r="L48" s="5">
        <v>4</v>
      </c>
      <c r="M48" s="5" t="s">
        <v>227</v>
      </c>
      <c r="N48" s="5" t="s">
        <v>228</v>
      </c>
      <c r="O48" s="5" t="s">
        <v>229</v>
      </c>
      <c r="Q48" s="5" t="s">
        <v>230</v>
      </c>
      <c r="R48" s="5">
        <f t="shared" si="0"/>
        <v>82</v>
      </c>
      <c r="S48" s="5" t="str">
        <f ca="1">IFERROR(__xludf.dummyfunction("""COMPUTED_VALUE"""),"NHÓM 4")</f>
        <v>NHÓM 4</v>
      </c>
      <c r="T48" s="5" t="str">
        <f ca="1">IFERROR(__xludf.dummyfunction("""COMPUTED_VALUE"""),"NHÓM 1")</f>
        <v>NHÓM 1</v>
      </c>
      <c r="U48" s="5" t="str">
        <f ca="1">IFERROR(__xludf.dummyfunction("IF(B48="""","""",""Zone ""&amp;IFERROR(VALUE(REGEXEXTRACT(TRIM(B48),""\d+"")),REGEXEXTRACT(TRIM(B48),""\d+"")))"),"Zone 4")</f>
        <v>Zone 4</v>
      </c>
    </row>
    <row r="49" spans="1:21" ht="22.5" hidden="1" customHeight="1" x14ac:dyDescent="0.25">
      <c r="A49" s="4">
        <v>46134.6882164583</v>
      </c>
      <c r="B49" s="5" t="s">
        <v>33</v>
      </c>
      <c r="C49" s="5" t="s">
        <v>51</v>
      </c>
      <c r="D49" s="5" t="s">
        <v>35</v>
      </c>
      <c r="E49" s="5" t="s">
        <v>226</v>
      </c>
      <c r="F49" s="5">
        <v>15</v>
      </c>
      <c r="G49" s="5">
        <v>20</v>
      </c>
      <c r="H49" s="5">
        <v>20</v>
      </c>
      <c r="I49" s="5">
        <v>15</v>
      </c>
      <c r="J49" s="5">
        <v>8</v>
      </c>
      <c r="L49" s="5">
        <v>4</v>
      </c>
      <c r="M49" s="5" t="s">
        <v>227</v>
      </c>
      <c r="N49" s="5" t="s">
        <v>228</v>
      </c>
      <c r="O49" s="5" t="s">
        <v>229</v>
      </c>
      <c r="Q49" s="5" t="s">
        <v>230</v>
      </c>
      <c r="R49" s="5">
        <f t="shared" si="0"/>
        <v>82</v>
      </c>
      <c r="S49" s="5" t="str">
        <f ca="1">IFERROR(__xludf.dummyfunction("""COMPUTED_VALUE"""),"NHÓM 4")</f>
        <v>NHÓM 4</v>
      </c>
      <c r="T49" s="5" t="str">
        <f ca="1">IFERROR(__xludf.dummyfunction("""COMPUTED_VALUE"""),"NHÓM 1")</f>
        <v>NHÓM 1</v>
      </c>
      <c r="U49" s="5" t="str">
        <f ca="1">IFERROR(__xludf.dummyfunction("IF(B49="""","""",""Zone ""&amp;IFERROR(VALUE(REGEXEXTRACT(TRIM(B49),""\d+"")),REGEXEXTRACT(TRIM(B49),""\d+"")))"),"Zone 4")</f>
        <v>Zone 4</v>
      </c>
    </row>
    <row r="50" spans="1:21" ht="22.5" hidden="1" customHeight="1" x14ac:dyDescent="0.25">
      <c r="A50" s="4">
        <v>46134.688923969901</v>
      </c>
      <c r="B50" s="5">
        <v>4</v>
      </c>
      <c r="C50" s="5">
        <v>20</v>
      </c>
      <c r="D50" s="5">
        <v>23</v>
      </c>
      <c r="E50" s="5" t="s">
        <v>231</v>
      </c>
      <c r="F50" s="5">
        <v>15</v>
      </c>
      <c r="G50" s="5">
        <v>20</v>
      </c>
      <c r="H50" s="5">
        <v>16</v>
      </c>
      <c r="I50" s="5">
        <v>9</v>
      </c>
      <c r="J50" s="5">
        <v>10</v>
      </c>
      <c r="L50" s="5">
        <v>5</v>
      </c>
      <c r="M50" s="5" t="s">
        <v>232</v>
      </c>
      <c r="N50" s="5" t="s">
        <v>233</v>
      </c>
      <c r="O50" s="5" t="s">
        <v>234</v>
      </c>
      <c r="Q50" s="5" t="s">
        <v>50</v>
      </c>
      <c r="R50" s="5">
        <f t="shared" si="0"/>
        <v>75</v>
      </c>
      <c r="S50" s="5" t="str">
        <f ca="1">IFERROR(__xludf.dummyfunction("""COMPUTED_VALUE"""),"NHÓM 5")</f>
        <v>NHÓM 5</v>
      </c>
      <c r="T50" s="5" t="str">
        <f ca="1">IFERROR(__xludf.dummyfunction("""COMPUTED_VALUE"""),"NHÓM 2")</f>
        <v>NHÓM 2</v>
      </c>
      <c r="U50" s="5" t="str">
        <f ca="1">IFERROR(__xludf.dummyfunction("IF(B50="""","""",""Zone ""&amp;IFERROR(VALUE(REGEXEXTRACT(TRIM(B50),""\d+"")),REGEXEXTRACT(TRIM(B50),""\d+"")))"),"Zone 4")</f>
        <v>Zone 4</v>
      </c>
    </row>
    <row r="51" spans="1:21" ht="22.5" hidden="1" customHeight="1" x14ac:dyDescent="0.25">
      <c r="A51" s="4">
        <v>46134.688929722201</v>
      </c>
      <c r="B51" s="5">
        <v>4</v>
      </c>
      <c r="C51" s="5">
        <v>21</v>
      </c>
      <c r="D51" s="5">
        <v>23</v>
      </c>
      <c r="E51" s="5" t="s">
        <v>235</v>
      </c>
      <c r="F51" s="5">
        <v>15</v>
      </c>
      <c r="G51" s="5">
        <v>20</v>
      </c>
      <c r="H51" s="5">
        <v>20</v>
      </c>
      <c r="I51" s="5">
        <v>15</v>
      </c>
      <c r="J51" s="5">
        <v>10</v>
      </c>
      <c r="L51" s="5">
        <v>5</v>
      </c>
      <c r="M51" s="5" t="s">
        <v>236</v>
      </c>
      <c r="N51" s="5" t="s">
        <v>237</v>
      </c>
      <c r="O51" s="5" t="s">
        <v>238</v>
      </c>
      <c r="Q51" s="5" t="s">
        <v>28</v>
      </c>
      <c r="R51" s="5">
        <f t="shared" si="0"/>
        <v>85</v>
      </c>
      <c r="S51" s="5" t="str">
        <f ca="1">IFERROR(__xludf.dummyfunction("""COMPUTED_VALUE"""),"NHÓM 5")</f>
        <v>NHÓM 5</v>
      </c>
      <c r="T51" s="5" t="str">
        <f ca="1">IFERROR(__xludf.dummyfunction("""COMPUTED_VALUE"""),"NHÓM 3")</f>
        <v>NHÓM 3</v>
      </c>
      <c r="U51" s="5" t="str">
        <f ca="1">IFERROR(__xludf.dummyfunction("IF(B51="""","""",""Zone ""&amp;IFERROR(VALUE(REGEXEXTRACT(TRIM(B51),""\d+"")),REGEXEXTRACT(TRIM(B51),""\d+"")))"),"Zone 4")</f>
        <v>Zone 4</v>
      </c>
    </row>
    <row r="52" spans="1:21" ht="22.5" hidden="1" customHeight="1" x14ac:dyDescent="0.25">
      <c r="A52" s="4">
        <v>46134.6889782176</v>
      </c>
      <c r="B52" s="5" t="s">
        <v>239</v>
      </c>
      <c r="C52" s="5" t="s">
        <v>240</v>
      </c>
      <c r="D52" s="5" t="s">
        <v>241</v>
      </c>
      <c r="E52" s="5" t="s">
        <v>242</v>
      </c>
      <c r="F52" s="5">
        <v>9</v>
      </c>
      <c r="G52" s="5">
        <v>12</v>
      </c>
      <c r="H52" s="5">
        <v>12</v>
      </c>
      <c r="I52" s="5">
        <v>6</v>
      </c>
      <c r="J52" s="5">
        <v>6</v>
      </c>
      <c r="L52" s="5">
        <v>3</v>
      </c>
      <c r="M52" s="5" t="s">
        <v>243</v>
      </c>
      <c r="N52" s="5" t="s">
        <v>244</v>
      </c>
      <c r="O52" s="5" t="s">
        <v>245</v>
      </c>
      <c r="Q52" s="5" t="s">
        <v>72</v>
      </c>
      <c r="R52" s="5">
        <f t="shared" si="0"/>
        <v>48</v>
      </c>
      <c r="S52" s="5" t="str">
        <f ca="1">IFERROR(__xludf.dummyfunction("""COMPUTED_VALUE"""),"NHÓM 2")</f>
        <v>NHÓM 2</v>
      </c>
      <c r="T52" s="5" t="str">
        <f ca="1">IFERROR(__xludf.dummyfunction("""COMPUTED_VALUE"""),"NHÓM 1")</f>
        <v>NHÓM 1</v>
      </c>
      <c r="U52" s="5" t="str">
        <f ca="1">IFERROR(__xludf.dummyfunction("IF(B52="""","""",""Zone ""&amp;IFERROR(VALUE(REGEXEXTRACT(TRIM(B52),""\d+"")),REGEXEXTRACT(TRIM(B52),""\d+"")))"),"Zone 5")</f>
        <v>Zone 5</v>
      </c>
    </row>
    <row r="53" spans="1:21" ht="22.5" hidden="1" customHeight="1" x14ac:dyDescent="0.25">
      <c r="A53" s="4">
        <v>46134.6891013079</v>
      </c>
      <c r="B53" s="5" t="s">
        <v>33</v>
      </c>
      <c r="C53" s="5" t="s">
        <v>34</v>
      </c>
      <c r="D53" s="5" t="s">
        <v>148</v>
      </c>
      <c r="E53" s="5" t="s">
        <v>246</v>
      </c>
      <c r="F53" s="5">
        <v>15</v>
      </c>
      <c r="G53" s="5">
        <v>20</v>
      </c>
      <c r="H53" s="5">
        <v>20</v>
      </c>
      <c r="I53" s="5">
        <v>15</v>
      </c>
      <c r="J53" s="5">
        <v>10</v>
      </c>
      <c r="L53" s="5">
        <v>5</v>
      </c>
      <c r="M53" s="5" t="s">
        <v>247</v>
      </c>
      <c r="N53" s="5" t="s">
        <v>248</v>
      </c>
      <c r="O53" s="5" t="s">
        <v>249</v>
      </c>
      <c r="Q53" s="5" t="s">
        <v>40</v>
      </c>
      <c r="R53" s="5">
        <f t="shared" si="0"/>
        <v>85</v>
      </c>
      <c r="S53" s="5" t="str">
        <f ca="1">IFERROR(__xludf.dummyfunction("""COMPUTED_VALUE"""),"NHÓM 5")</f>
        <v>NHÓM 5</v>
      </c>
      <c r="T53" s="5" t="str">
        <f ca="1">IFERROR(__xludf.dummyfunction("""COMPUTED_VALUE"""),"NHÓM 4")</f>
        <v>NHÓM 4</v>
      </c>
      <c r="U53" s="5" t="str">
        <f ca="1">IFERROR(__xludf.dummyfunction("IF(B53="""","""",""Zone ""&amp;IFERROR(VALUE(REGEXEXTRACT(TRIM(B53),""\d+"")),REGEXEXTRACT(TRIM(B53),""\d+"")))"),"Zone 4")</f>
        <v>Zone 4</v>
      </c>
    </row>
    <row r="54" spans="1:21" ht="22.5" hidden="1" customHeight="1" x14ac:dyDescent="0.25">
      <c r="A54" s="4">
        <v>46134.689186770796</v>
      </c>
      <c r="B54" s="5" t="s">
        <v>196</v>
      </c>
      <c r="C54" s="5" t="s">
        <v>80</v>
      </c>
      <c r="D54" s="5" t="s">
        <v>75</v>
      </c>
      <c r="E54" s="5" t="s">
        <v>250</v>
      </c>
      <c r="F54" s="5">
        <v>12</v>
      </c>
      <c r="G54" s="5">
        <v>16</v>
      </c>
      <c r="H54" s="5">
        <v>20</v>
      </c>
      <c r="I54" s="5">
        <v>15</v>
      </c>
      <c r="J54" s="5">
        <v>10</v>
      </c>
      <c r="L54" s="5">
        <v>4</v>
      </c>
      <c r="M54" s="5" t="s">
        <v>251</v>
      </c>
      <c r="N54" s="5" t="s">
        <v>252</v>
      </c>
      <c r="O54" s="5" t="s">
        <v>253</v>
      </c>
      <c r="R54" s="5">
        <f t="shared" si="0"/>
        <v>77</v>
      </c>
      <c r="S54" s="5" t="str">
        <f ca="1">IFERROR(__xludf.dummyfunction("""COMPUTED_VALUE"""),"NHÓM 2")</f>
        <v>NHÓM 2</v>
      </c>
      <c r="T54" s="5" t="str">
        <f ca="1">IFERROR(__xludf.dummyfunction("""COMPUTED_VALUE"""),"NHÓM 4")</f>
        <v>NHÓM 4</v>
      </c>
      <c r="U54" s="5" t="str">
        <f ca="1">IFERROR(__xludf.dummyfunction("IF(B54="""","""",""Zone ""&amp;IFERROR(VALUE(REGEXEXTRACT(TRIM(B54),""\d+"")),REGEXEXTRACT(TRIM(B54),""\d+"")))"),"Zone 1")</f>
        <v>Zone 1</v>
      </c>
    </row>
    <row r="55" spans="1:21" ht="22.5" hidden="1" customHeight="1" x14ac:dyDescent="0.25">
      <c r="A55" s="4">
        <v>46134.6892146065</v>
      </c>
      <c r="B55" s="5">
        <v>5</v>
      </c>
      <c r="C55" s="5" t="s">
        <v>80</v>
      </c>
      <c r="D55" s="5" t="s">
        <v>74</v>
      </c>
      <c r="E55" s="5" t="s">
        <v>254</v>
      </c>
      <c r="F55" s="5">
        <v>6</v>
      </c>
      <c r="G55" s="5">
        <v>8</v>
      </c>
      <c r="H55" s="5">
        <v>8</v>
      </c>
      <c r="I55" s="5">
        <v>9</v>
      </c>
      <c r="J55" s="5">
        <v>4</v>
      </c>
      <c r="L55" s="5">
        <v>3</v>
      </c>
      <c r="M55" s="5" t="s">
        <v>137</v>
      </c>
      <c r="N55" s="5" t="s">
        <v>255</v>
      </c>
      <c r="O55" s="5" t="s">
        <v>256</v>
      </c>
      <c r="R55" s="5">
        <f t="shared" si="0"/>
        <v>38</v>
      </c>
      <c r="S55" s="5" t="str">
        <f ca="1">IFERROR(__xludf.dummyfunction("""COMPUTED_VALUE"""),"NHÓM 1")</f>
        <v>NHÓM 1</v>
      </c>
      <c r="T55" s="5" t="str">
        <f ca="1">IFERROR(__xludf.dummyfunction("""COMPUTED_VALUE"""),"NHÓM 4")</f>
        <v>NHÓM 4</v>
      </c>
      <c r="U55" s="5" t="str">
        <f ca="1">IFERROR(__xludf.dummyfunction("IF(B55="""","""",""Zone ""&amp;IFERROR(VALUE(REGEXEXTRACT(TRIM(B55),""\d+"")),REGEXEXTRACT(TRIM(B55),""\d+"")))"),"Zone 5")</f>
        <v>Zone 5</v>
      </c>
    </row>
    <row r="56" spans="1:21" ht="22.5" hidden="1" customHeight="1" x14ac:dyDescent="0.25">
      <c r="A56" s="4">
        <v>46134.690080567103</v>
      </c>
      <c r="B56" s="5" t="s">
        <v>239</v>
      </c>
      <c r="C56" s="5" t="s">
        <v>257</v>
      </c>
      <c r="D56" s="5" t="s">
        <v>258</v>
      </c>
      <c r="E56" s="5" t="s">
        <v>254</v>
      </c>
      <c r="F56" s="5">
        <v>6</v>
      </c>
      <c r="G56" s="5">
        <v>8</v>
      </c>
      <c r="H56" s="5">
        <v>8</v>
      </c>
      <c r="I56" s="5">
        <v>6</v>
      </c>
      <c r="J56" s="5">
        <v>4</v>
      </c>
      <c r="L56" s="5">
        <v>2</v>
      </c>
      <c r="M56" s="5" t="s">
        <v>259</v>
      </c>
      <c r="N56" s="5" t="s">
        <v>260</v>
      </c>
      <c r="O56" s="5" t="s">
        <v>38</v>
      </c>
      <c r="Q56" s="5" t="s">
        <v>72</v>
      </c>
      <c r="R56" s="5">
        <f t="shared" si="0"/>
        <v>34</v>
      </c>
      <c r="S56" s="5" t="str">
        <f ca="1">IFERROR(__xludf.dummyfunction("""COMPUTED_VALUE"""),"NHÓM 2")</f>
        <v>NHÓM 2</v>
      </c>
      <c r="T56" s="5" t="str">
        <f ca="1">IFERROR(__xludf.dummyfunction("""COMPUTED_VALUE"""),"NHÓM 6")</f>
        <v>NHÓM 6</v>
      </c>
      <c r="U56" s="5" t="str">
        <f ca="1">IFERROR(__xludf.dummyfunction("IF(B56="""","""",""Zone ""&amp;IFERROR(VALUE(REGEXEXTRACT(TRIM(B56),""\d+"")),REGEXEXTRACT(TRIM(B56),""\d+"")))"),"Zone 5")</f>
        <v>Zone 5</v>
      </c>
    </row>
    <row r="57" spans="1:21" ht="22.5" hidden="1" customHeight="1" x14ac:dyDescent="0.25">
      <c r="A57" s="4">
        <v>46134.690233911999</v>
      </c>
      <c r="B57" s="5">
        <v>4</v>
      </c>
      <c r="C57" s="5">
        <v>23</v>
      </c>
      <c r="D57" s="5">
        <v>21</v>
      </c>
      <c r="E57" s="5" t="s">
        <v>261</v>
      </c>
      <c r="F57" s="5">
        <v>15</v>
      </c>
      <c r="G57" s="5">
        <v>20</v>
      </c>
      <c r="H57" s="5">
        <v>16</v>
      </c>
      <c r="I57" s="5">
        <v>12</v>
      </c>
      <c r="J57" s="5">
        <v>8</v>
      </c>
      <c r="L57" s="5">
        <v>4</v>
      </c>
      <c r="M57" s="5" t="s">
        <v>262</v>
      </c>
      <c r="N57" s="5" t="s">
        <v>263</v>
      </c>
      <c r="O57" s="5" t="s">
        <v>264</v>
      </c>
      <c r="Q57" s="5" t="s">
        <v>230</v>
      </c>
      <c r="R57" s="5">
        <f t="shared" si="0"/>
        <v>75</v>
      </c>
      <c r="S57" s="5" t="str">
        <f ca="1">IFERROR(__xludf.dummyfunction("""COMPUTED_VALUE"""),"NHÓM 3")</f>
        <v>NHÓM 3</v>
      </c>
      <c r="T57" s="5" t="str">
        <f ca="1">IFERROR(__xludf.dummyfunction("""COMPUTED_VALUE"""),"NHÓM 5")</f>
        <v>NHÓM 5</v>
      </c>
      <c r="U57" s="5" t="str">
        <f ca="1">IFERROR(__xludf.dummyfunction("IF(B57="""","""",""Zone ""&amp;IFERROR(VALUE(REGEXEXTRACT(TRIM(B57),""\d+"")),REGEXEXTRACT(TRIM(B57),""\d+"")))"),"Zone 4")</f>
        <v>Zone 4</v>
      </c>
    </row>
    <row r="58" spans="1:21" ht="22.5" hidden="1" customHeight="1" x14ac:dyDescent="0.25">
      <c r="A58" s="4">
        <v>46134.690924768503</v>
      </c>
      <c r="B58" s="5">
        <v>5</v>
      </c>
      <c r="C58" s="5">
        <v>26</v>
      </c>
      <c r="D58" s="5">
        <v>25</v>
      </c>
      <c r="E58" s="5" t="s">
        <v>265</v>
      </c>
      <c r="F58" s="5">
        <v>9</v>
      </c>
      <c r="G58" s="5">
        <v>8</v>
      </c>
      <c r="H58" s="5">
        <v>16</v>
      </c>
      <c r="I58" s="5">
        <v>6</v>
      </c>
      <c r="J58" s="5">
        <v>8</v>
      </c>
      <c r="L58" s="5">
        <v>3</v>
      </c>
      <c r="M58" s="5" t="s">
        <v>266</v>
      </c>
      <c r="N58" s="5" t="s">
        <v>267</v>
      </c>
      <c r="O58" s="5" t="s">
        <v>268</v>
      </c>
      <c r="R58" s="5">
        <f t="shared" si="0"/>
        <v>50</v>
      </c>
      <c r="S58" s="5" t="str">
        <f ca="1">IFERROR(__xludf.dummyfunction("""COMPUTED_VALUE"""),"NHÓM 1")</f>
        <v>NHÓM 1</v>
      </c>
      <c r="T58" s="5" t="str">
        <f ca="1">IFERROR(__xludf.dummyfunction("""COMPUTED_VALUE"""),"NHÓM 2")</f>
        <v>NHÓM 2</v>
      </c>
      <c r="U58" s="5" t="str">
        <f ca="1">IFERROR(__xludf.dummyfunction("IF(B58="""","""",""Zone ""&amp;IFERROR(VALUE(REGEXEXTRACT(TRIM(B58),""\d+"")),REGEXEXTRACT(TRIM(B58),""\d+"")))"),"Zone 5")</f>
        <v>Zone 5</v>
      </c>
    </row>
    <row r="59" spans="1:21" ht="22.5" hidden="1" customHeight="1" x14ac:dyDescent="0.25">
      <c r="A59" s="4">
        <v>46134.690972256903</v>
      </c>
      <c r="B59" s="5">
        <v>5</v>
      </c>
      <c r="C59" s="5">
        <v>5</v>
      </c>
      <c r="D59" s="5">
        <v>2</v>
      </c>
      <c r="E59" s="5" t="s">
        <v>269</v>
      </c>
      <c r="F59" s="5">
        <v>9</v>
      </c>
      <c r="G59" s="5">
        <v>8</v>
      </c>
      <c r="H59" s="5">
        <v>8</v>
      </c>
      <c r="I59" s="5">
        <v>6</v>
      </c>
      <c r="J59" s="5">
        <v>6</v>
      </c>
      <c r="L59" s="5">
        <v>3</v>
      </c>
      <c r="M59" s="5" t="s">
        <v>270</v>
      </c>
      <c r="N59" s="5" t="s">
        <v>271</v>
      </c>
      <c r="O59" s="5" t="s">
        <v>272</v>
      </c>
      <c r="Q59" s="5" t="s">
        <v>50</v>
      </c>
      <c r="R59" s="5">
        <f t="shared" si="0"/>
        <v>40</v>
      </c>
      <c r="S59" s="5" t="str">
        <f ca="1">IFERROR(__xludf.dummyfunction("""COMPUTED_VALUE"""),"NHÓM 2")</f>
        <v>NHÓM 2</v>
      </c>
      <c r="T59" s="5" t="str">
        <f ca="1">IFERROR(__xludf.dummyfunction("""COMPUTED_VALUE"""),"NHÓM 5")</f>
        <v>NHÓM 5</v>
      </c>
      <c r="U59" s="5" t="str">
        <f ca="1">IFERROR(__xludf.dummyfunction("IF(B59="""","""",""Zone ""&amp;IFERROR(VALUE(REGEXEXTRACT(TRIM(B59),""\d+"")),REGEXEXTRACT(TRIM(B59),""\d+"")))"),"Zone 5")</f>
        <v>Zone 5</v>
      </c>
    </row>
    <row r="60" spans="1:21" ht="22.5" hidden="1" customHeight="1" x14ac:dyDescent="0.25">
      <c r="A60" s="4">
        <v>46134.691504259303</v>
      </c>
      <c r="B60" s="5" t="s">
        <v>106</v>
      </c>
      <c r="C60" s="5" t="s">
        <v>112</v>
      </c>
      <c r="D60" s="5" t="s">
        <v>273</v>
      </c>
      <c r="E60" s="5" t="s">
        <v>274</v>
      </c>
      <c r="F60" s="5">
        <v>9</v>
      </c>
      <c r="G60" s="5">
        <v>16</v>
      </c>
      <c r="H60" s="5">
        <v>16</v>
      </c>
      <c r="I60" s="5">
        <v>12</v>
      </c>
      <c r="J60" s="5">
        <v>10</v>
      </c>
      <c r="L60" s="5">
        <v>5</v>
      </c>
      <c r="M60" s="5" t="s">
        <v>275</v>
      </c>
      <c r="N60" s="5" t="s">
        <v>276</v>
      </c>
      <c r="O60" s="5" t="s">
        <v>277</v>
      </c>
      <c r="Q60" s="5" t="s">
        <v>230</v>
      </c>
      <c r="R60" s="5">
        <f t="shared" si="0"/>
        <v>68</v>
      </c>
      <c r="S60" s="5" t="str">
        <f ca="1">IFERROR(__xludf.dummyfunction("""COMPUTED_VALUE"""),"NHÓM 2")</f>
        <v>NHÓM 2</v>
      </c>
      <c r="T60" s="5" t="str">
        <f ca="1">IFERROR(__xludf.dummyfunction("""COMPUTED_VALUE"""),"NHÓM 6")</f>
        <v>NHÓM 6</v>
      </c>
      <c r="U60" s="5" t="str">
        <f ca="1">IFERROR(__xludf.dummyfunction("IF(B60="""","""",""Zone ""&amp;IFERROR(VALUE(REGEXEXTRACT(TRIM(B60),""\d+"")),REGEXEXTRACT(TRIM(B60),""\d+"")))"),"Zone 2")</f>
        <v>Zone 2</v>
      </c>
    </row>
    <row r="61" spans="1:21" ht="22.5" hidden="1" customHeight="1" x14ac:dyDescent="0.25">
      <c r="A61" s="4">
        <v>46134.691720729199</v>
      </c>
      <c r="B61" s="5">
        <v>3</v>
      </c>
      <c r="C61" s="5">
        <v>2</v>
      </c>
      <c r="D61" s="5">
        <v>1</v>
      </c>
      <c r="E61" s="5" t="s">
        <v>278</v>
      </c>
      <c r="F61" s="5">
        <v>15</v>
      </c>
      <c r="G61" s="5">
        <v>20</v>
      </c>
      <c r="H61" s="5">
        <v>20</v>
      </c>
      <c r="I61" s="5">
        <v>15</v>
      </c>
      <c r="J61" s="5">
        <v>10</v>
      </c>
      <c r="L61" s="5">
        <v>5</v>
      </c>
      <c r="M61" s="5" t="s">
        <v>279</v>
      </c>
      <c r="N61" s="5" t="s">
        <v>280</v>
      </c>
      <c r="O61" s="5" t="s">
        <v>281</v>
      </c>
      <c r="Q61" s="5" t="s">
        <v>282</v>
      </c>
      <c r="R61" s="5">
        <f t="shared" si="0"/>
        <v>85</v>
      </c>
      <c r="S61" s="5" t="str">
        <f ca="1">IFERROR(__xludf.dummyfunction("""COMPUTED_VALUE"""),"NHÓM 1")</f>
        <v>NHÓM 1</v>
      </c>
      <c r="T61" s="5" t="str">
        <f ca="1">IFERROR(__xludf.dummyfunction("""COMPUTED_VALUE"""),"NHÓM 2")</f>
        <v>NHÓM 2</v>
      </c>
      <c r="U61" s="5" t="str">
        <f ca="1">IFERROR(__xludf.dummyfunction("IF(B61="""","""",""Zone ""&amp;IFERROR(VALUE(REGEXEXTRACT(TRIM(B61),""\d+"")),REGEXEXTRACT(TRIM(B61),""\d+"")))"),"Zone 3")</f>
        <v>Zone 3</v>
      </c>
    </row>
    <row r="62" spans="1:21" ht="22.5" hidden="1" customHeight="1" x14ac:dyDescent="0.25">
      <c r="A62" s="4">
        <v>46134.691857476901</v>
      </c>
      <c r="B62" s="5" t="s">
        <v>73</v>
      </c>
      <c r="C62" s="5">
        <v>6</v>
      </c>
      <c r="D62" s="5">
        <v>1</v>
      </c>
      <c r="E62" s="5" t="s">
        <v>283</v>
      </c>
      <c r="F62" s="5">
        <v>9</v>
      </c>
      <c r="G62" s="5">
        <v>16</v>
      </c>
      <c r="H62" s="5">
        <v>12</v>
      </c>
      <c r="I62" s="5">
        <v>12</v>
      </c>
      <c r="J62" s="5">
        <v>6</v>
      </c>
      <c r="L62" s="5">
        <v>3</v>
      </c>
      <c r="M62" s="5" t="s">
        <v>284</v>
      </c>
      <c r="N62" s="5" t="s">
        <v>285</v>
      </c>
      <c r="O62" s="5" t="s">
        <v>286</v>
      </c>
      <c r="R62" s="5">
        <f t="shared" si="0"/>
        <v>58</v>
      </c>
      <c r="S62" s="5" t="str">
        <f ca="1">IFERROR(__xludf.dummyfunction("""COMPUTED_VALUE"""),"NHÓM 1")</f>
        <v>NHÓM 1</v>
      </c>
      <c r="T62" s="5" t="str">
        <f ca="1">IFERROR(__xludf.dummyfunction("""COMPUTED_VALUE"""),"NHÓM 6")</f>
        <v>NHÓM 6</v>
      </c>
      <c r="U62" s="5" t="str">
        <f ca="1">IFERROR(__xludf.dummyfunction("IF(B62="""","""",""Zone ""&amp;IFERROR(VALUE(REGEXEXTRACT(TRIM(B62),""\d+"")),REGEXEXTRACT(TRIM(B62),""\d+"")))"),"Zone 3")</f>
        <v>Zone 3</v>
      </c>
    </row>
    <row r="63" spans="1:21" ht="22.5" hidden="1" customHeight="1" x14ac:dyDescent="0.25">
      <c r="A63" s="4">
        <v>46134.692668206</v>
      </c>
      <c r="B63" s="5">
        <v>4</v>
      </c>
      <c r="C63" s="5">
        <v>23</v>
      </c>
      <c r="D63" s="5">
        <v>34</v>
      </c>
      <c r="E63" s="5" t="s">
        <v>287</v>
      </c>
      <c r="F63" s="5">
        <v>15</v>
      </c>
      <c r="G63" s="5">
        <v>20</v>
      </c>
      <c r="H63" s="5">
        <v>20</v>
      </c>
      <c r="I63" s="5">
        <v>15</v>
      </c>
      <c r="J63" s="5">
        <v>10</v>
      </c>
      <c r="L63" s="5">
        <v>4</v>
      </c>
      <c r="M63" s="5" t="s">
        <v>288</v>
      </c>
      <c r="N63" s="5" t="s">
        <v>289</v>
      </c>
      <c r="O63" s="5" t="s">
        <v>290</v>
      </c>
      <c r="R63" s="5">
        <f t="shared" si="0"/>
        <v>84</v>
      </c>
      <c r="S63" s="5" t="str">
        <f ca="1">IFERROR(__xludf.dummyfunction("""COMPUTED_VALUE"""),"NHÓM 4")</f>
        <v>NHÓM 4</v>
      </c>
      <c r="T63" s="5" t="str">
        <f ca="1">IFERROR(__xludf.dummyfunction("""COMPUTED_VALUE"""),"NHÓM 5")</f>
        <v>NHÓM 5</v>
      </c>
      <c r="U63" s="5" t="str">
        <f ca="1">IFERROR(__xludf.dummyfunction("IF(B63="""","""",""Zone ""&amp;IFERROR(VALUE(REGEXEXTRACT(TRIM(B63),""\d+"")),REGEXEXTRACT(TRIM(B63),""\d+"")))"),"Zone 4")</f>
        <v>Zone 4</v>
      </c>
    </row>
    <row r="64" spans="1:21" ht="22.5" hidden="1" customHeight="1" x14ac:dyDescent="0.25">
      <c r="A64" s="4">
        <v>46134.692769502297</v>
      </c>
      <c r="B64" s="5" t="s">
        <v>33</v>
      </c>
      <c r="C64" s="5" t="s">
        <v>51</v>
      </c>
      <c r="D64" s="5" t="s">
        <v>44</v>
      </c>
      <c r="E64" s="5" t="s">
        <v>291</v>
      </c>
      <c r="F64" s="5">
        <v>15</v>
      </c>
      <c r="G64" s="5">
        <v>20</v>
      </c>
      <c r="H64" s="5">
        <v>16</v>
      </c>
      <c r="I64" s="5">
        <v>15</v>
      </c>
      <c r="J64" s="5">
        <v>10</v>
      </c>
      <c r="L64" s="5">
        <v>5</v>
      </c>
      <c r="M64" s="5" t="s">
        <v>165</v>
      </c>
      <c r="N64" s="5" t="s">
        <v>292</v>
      </c>
      <c r="O64" s="5" t="s">
        <v>293</v>
      </c>
      <c r="Q64" s="5" t="s">
        <v>122</v>
      </c>
      <c r="R64" s="5">
        <f t="shared" si="0"/>
        <v>81</v>
      </c>
      <c r="S64" s="5" t="str">
        <f ca="1">IFERROR(__xludf.dummyfunction("""COMPUTED_VALUE"""),"NHÓM 3")</f>
        <v>NHÓM 3</v>
      </c>
      <c r="T64" s="5" t="str">
        <f ca="1">IFERROR(__xludf.dummyfunction("""COMPUTED_VALUE"""),"NHÓM 1")</f>
        <v>NHÓM 1</v>
      </c>
      <c r="U64" s="5" t="str">
        <f ca="1">IFERROR(__xludf.dummyfunction("IF(B64="""","""",""Zone ""&amp;IFERROR(VALUE(REGEXEXTRACT(TRIM(B64),""\d+"")),REGEXEXTRACT(TRIM(B64),""\d+"")))"),"Zone 4")</f>
        <v>Zone 4</v>
      </c>
    </row>
    <row r="65" spans="1:21" ht="22.5" customHeight="1" x14ac:dyDescent="0.25">
      <c r="A65" s="4">
        <v>46134.6929655903</v>
      </c>
      <c r="B65" s="5" t="s">
        <v>73</v>
      </c>
      <c r="C65" s="5" t="s">
        <v>80</v>
      </c>
      <c r="D65" s="5" t="s">
        <v>74</v>
      </c>
      <c r="E65" s="5" t="s">
        <v>294</v>
      </c>
      <c r="F65" s="5">
        <v>9</v>
      </c>
      <c r="G65" s="5">
        <v>16</v>
      </c>
      <c r="H65" s="5">
        <v>16</v>
      </c>
      <c r="I65" s="5">
        <v>12</v>
      </c>
      <c r="J65" s="5">
        <v>8</v>
      </c>
      <c r="L65" s="5">
        <v>4</v>
      </c>
      <c r="M65" s="5" t="s">
        <v>145</v>
      </c>
      <c r="N65" s="5" t="s">
        <v>295</v>
      </c>
      <c r="O65" s="5" t="s">
        <v>296</v>
      </c>
      <c r="Q65" s="5" t="s">
        <v>297</v>
      </c>
      <c r="R65" s="5">
        <f t="shared" si="0"/>
        <v>65</v>
      </c>
      <c r="S65" s="5" t="str">
        <f ca="1">IFERROR(__xludf.dummyfunction("""COMPUTED_VALUE"""),"NHÓM 1")</f>
        <v>NHÓM 1</v>
      </c>
      <c r="T65" s="5" t="str">
        <f ca="1">IFERROR(__xludf.dummyfunction("""COMPUTED_VALUE"""),"NHÓM 4")</f>
        <v>NHÓM 4</v>
      </c>
      <c r="U65" s="5" t="str">
        <f ca="1">IFERROR(__xludf.dummyfunction("IF(B65="""","""",""Zone ""&amp;IFERROR(VALUE(REGEXEXTRACT(TRIM(B65),""\d+"")),REGEXEXTRACT(TRIM(B65),""\d+"")))"),"Zone 3")</f>
        <v>Zone 3</v>
      </c>
    </row>
    <row r="66" spans="1:21" ht="22.5" hidden="1" customHeight="1" x14ac:dyDescent="0.25">
      <c r="A66" s="4">
        <v>46134.692986574097</v>
      </c>
      <c r="B66" s="5" t="s">
        <v>106</v>
      </c>
      <c r="C66" s="5" t="s">
        <v>133</v>
      </c>
      <c r="D66" s="5" t="s">
        <v>273</v>
      </c>
      <c r="E66" s="5" t="s">
        <v>298</v>
      </c>
      <c r="F66" s="5">
        <v>12</v>
      </c>
      <c r="G66" s="5">
        <v>12</v>
      </c>
      <c r="H66" s="5">
        <v>12</v>
      </c>
      <c r="I66" s="5">
        <v>9</v>
      </c>
      <c r="J66" s="5">
        <v>8</v>
      </c>
      <c r="L66" s="5">
        <v>4</v>
      </c>
      <c r="M66" s="5" t="s">
        <v>299</v>
      </c>
      <c r="N66" s="5" t="s">
        <v>300</v>
      </c>
      <c r="O66" s="5" t="s">
        <v>301</v>
      </c>
      <c r="R66" s="5">
        <f t="shared" ref="R66:R129" si="1">IF(A66="","",F66+G66+H66+I66+J66+L66)</f>
        <v>57</v>
      </c>
      <c r="S66" s="5" t="str">
        <f ca="1">IFERROR(__xludf.dummyfunction("""COMPUTED_VALUE"""),"NHÓM 2")</f>
        <v>NHÓM 2</v>
      </c>
      <c r="T66" s="5" t="str">
        <f ca="1">IFERROR(__xludf.dummyfunction("""COMPUTED_VALUE"""),"NHÓM 5")</f>
        <v>NHÓM 5</v>
      </c>
      <c r="U66" s="5" t="str">
        <f ca="1">IFERROR(__xludf.dummyfunction("IF(B66="""","""",""Zone ""&amp;IFERROR(VALUE(REGEXEXTRACT(TRIM(B66),""\d+"")),REGEXEXTRACT(TRIM(B66),""\d+"")))"),"Zone 2")</f>
        <v>Zone 2</v>
      </c>
    </row>
    <row r="67" spans="1:21" ht="22.5" hidden="1" customHeight="1" x14ac:dyDescent="0.25">
      <c r="A67" s="4">
        <v>46134.693199363399</v>
      </c>
      <c r="B67" s="5">
        <v>2</v>
      </c>
      <c r="C67" s="5" t="s">
        <v>113</v>
      </c>
      <c r="D67" s="5" t="s">
        <v>273</v>
      </c>
      <c r="E67" s="5" t="s">
        <v>274</v>
      </c>
      <c r="F67" s="5">
        <v>15</v>
      </c>
      <c r="G67" s="5">
        <v>16</v>
      </c>
      <c r="H67" s="5">
        <v>16</v>
      </c>
      <c r="I67" s="5">
        <v>12</v>
      </c>
      <c r="J67" s="5">
        <v>10</v>
      </c>
      <c r="L67" s="5">
        <v>4</v>
      </c>
      <c r="M67" s="5" t="s">
        <v>302</v>
      </c>
      <c r="N67" s="5" t="s">
        <v>303</v>
      </c>
      <c r="O67" s="5" t="s">
        <v>98</v>
      </c>
      <c r="Q67" s="5" t="s">
        <v>50</v>
      </c>
      <c r="R67" s="5">
        <f t="shared" si="1"/>
        <v>73</v>
      </c>
      <c r="S67" s="5" t="str">
        <f ca="1">IFERROR(__xludf.dummyfunction("""COMPUTED_VALUE"""),"NHÓM 2")</f>
        <v>NHÓM 2</v>
      </c>
      <c r="T67" s="5" t="str">
        <f ca="1">IFERROR(__xludf.dummyfunction("""COMPUTED_VALUE"""),"NHÓM 3")</f>
        <v>NHÓM 3</v>
      </c>
      <c r="U67" s="5" t="str">
        <f ca="1">IFERROR(__xludf.dummyfunction("IF(B67="""","""",""Zone ""&amp;IFERROR(VALUE(REGEXEXTRACT(TRIM(B67),""\d+"")),REGEXEXTRACT(TRIM(B67),""\d+"")))"),"Zone 2")</f>
        <v>Zone 2</v>
      </c>
    </row>
    <row r="68" spans="1:21" ht="22.5" hidden="1" customHeight="1" x14ac:dyDescent="0.25">
      <c r="A68" s="4">
        <v>46134.693372013899</v>
      </c>
      <c r="B68" s="5">
        <v>4</v>
      </c>
      <c r="C68" s="5">
        <v>34</v>
      </c>
      <c r="D68" s="5">
        <v>21</v>
      </c>
      <c r="E68" s="5" t="s">
        <v>304</v>
      </c>
      <c r="F68" s="5">
        <v>15</v>
      </c>
      <c r="G68" s="5">
        <v>20</v>
      </c>
      <c r="H68" s="5">
        <v>20</v>
      </c>
      <c r="I68" s="5">
        <v>15</v>
      </c>
      <c r="J68" s="5">
        <v>10</v>
      </c>
      <c r="L68" s="5">
        <v>5</v>
      </c>
      <c r="M68" s="5" t="s">
        <v>305</v>
      </c>
      <c r="N68" s="5" t="s">
        <v>79</v>
      </c>
      <c r="O68" s="5" t="s">
        <v>306</v>
      </c>
      <c r="Q68" s="5" t="s">
        <v>40</v>
      </c>
      <c r="R68" s="5">
        <f t="shared" si="1"/>
        <v>85</v>
      </c>
      <c r="S68" s="5" t="str">
        <f ca="1">IFERROR(__xludf.dummyfunction("""COMPUTED_VALUE"""),"NHÓM 3")</f>
        <v>NHÓM 3</v>
      </c>
      <c r="T68" s="5" t="str">
        <f ca="1">IFERROR(__xludf.dummyfunction("""COMPUTED_VALUE"""),"NHÓM 4")</f>
        <v>NHÓM 4</v>
      </c>
      <c r="U68" s="5" t="str">
        <f ca="1">IFERROR(__xludf.dummyfunction("IF(B68="""","""",""Zone ""&amp;IFERROR(VALUE(REGEXEXTRACT(TRIM(B68),""\d+"")),REGEXEXTRACT(TRIM(B68),""\d+"")))"),"Zone 4")</f>
        <v>Zone 4</v>
      </c>
    </row>
    <row r="69" spans="1:21" ht="22.5" hidden="1" customHeight="1" x14ac:dyDescent="0.25">
      <c r="A69" s="4">
        <v>46134.694486423599</v>
      </c>
      <c r="B69" s="5" t="s">
        <v>196</v>
      </c>
      <c r="C69" s="5" t="s">
        <v>107</v>
      </c>
      <c r="D69" s="5" t="s">
        <v>74</v>
      </c>
      <c r="E69" s="5" t="s">
        <v>222</v>
      </c>
      <c r="F69" s="5">
        <v>12</v>
      </c>
      <c r="G69" s="5">
        <v>12</v>
      </c>
      <c r="H69" s="5">
        <v>12</v>
      </c>
      <c r="I69" s="5">
        <v>9</v>
      </c>
      <c r="J69" s="5">
        <v>10</v>
      </c>
      <c r="L69" s="5">
        <v>5</v>
      </c>
      <c r="M69" s="5" t="s">
        <v>307</v>
      </c>
      <c r="N69" s="5" t="s">
        <v>308</v>
      </c>
      <c r="O69" s="5" t="s">
        <v>309</v>
      </c>
      <c r="Q69" s="5" t="s">
        <v>50</v>
      </c>
      <c r="R69" s="5">
        <f t="shared" si="1"/>
        <v>60</v>
      </c>
      <c r="S69" s="5" t="str">
        <f ca="1">IFERROR(__xludf.dummyfunction("""COMPUTED_VALUE"""),"NHÓM 1")</f>
        <v>NHÓM 1</v>
      </c>
      <c r="T69" s="5" t="str">
        <f ca="1">IFERROR(__xludf.dummyfunction("""COMPUTED_VALUE"""),"NHÓM 3")</f>
        <v>NHÓM 3</v>
      </c>
      <c r="U69" s="5" t="str">
        <f ca="1">IFERROR(__xludf.dummyfunction("IF(B69="""","""",""Zone ""&amp;IFERROR(VALUE(REGEXEXTRACT(TRIM(B69),""\d+"")),REGEXEXTRACT(TRIM(B69),""\d+"")))"),"Zone 1")</f>
        <v>Zone 1</v>
      </c>
    </row>
    <row r="70" spans="1:21" ht="22.5" hidden="1" customHeight="1" x14ac:dyDescent="0.25">
      <c r="A70" s="4">
        <v>46134.694917152803</v>
      </c>
      <c r="B70" s="5" t="s">
        <v>33</v>
      </c>
      <c r="C70" s="5" t="s">
        <v>51</v>
      </c>
      <c r="D70" s="5" t="s">
        <v>45</v>
      </c>
      <c r="E70" s="5" t="s">
        <v>310</v>
      </c>
      <c r="F70" s="5">
        <v>15</v>
      </c>
      <c r="G70" s="5">
        <v>20</v>
      </c>
      <c r="H70" s="5">
        <v>20</v>
      </c>
      <c r="I70" s="5">
        <v>15</v>
      </c>
      <c r="J70" s="5">
        <v>8</v>
      </c>
      <c r="L70" s="5">
        <v>5</v>
      </c>
      <c r="M70" s="5" t="s">
        <v>311</v>
      </c>
      <c r="N70" s="5" t="s">
        <v>312</v>
      </c>
      <c r="O70" s="5" t="s">
        <v>313</v>
      </c>
      <c r="Q70" s="5" t="s">
        <v>122</v>
      </c>
      <c r="R70" s="5">
        <f t="shared" si="1"/>
        <v>83</v>
      </c>
      <c r="S70" s="5" t="str">
        <f ca="1">IFERROR(__xludf.dummyfunction("""COMPUTED_VALUE"""),"NHÓM 2")</f>
        <v>NHÓM 2</v>
      </c>
      <c r="T70" s="5" t="str">
        <f ca="1">IFERROR(__xludf.dummyfunction("""COMPUTED_VALUE"""),"NHÓM 1")</f>
        <v>NHÓM 1</v>
      </c>
      <c r="U70" s="5" t="str">
        <f ca="1">IFERROR(__xludf.dummyfunction("IF(B70="""","""",""Zone ""&amp;IFERROR(VALUE(REGEXEXTRACT(TRIM(B70),""\d+"")),REGEXEXTRACT(TRIM(B70),""\d+"")))"),"Zone 4")</f>
        <v>Zone 4</v>
      </c>
    </row>
    <row r="71" spans="1:21" ht="22.5" hidden="1" customHeight="1" x14ac:dyDescent="0.25">
      <c r="A71" s="4">
        <v>46134.695653865703</v>
      </c>
      <c r="B71" s="5" t="s">
        <v>73</v>
      </c>
      <c r="C71" s="5" t="s">
        <v>107</v>
      </c>
      <c r="D71" s="5">
        <v>5</v>
      </c>
      <c r="E71" s="5" t="s">
        <v>314</v>
      </c>
      <c r="F71" s="5">
        <v>9</v>
      </c>
      <c r="G71" s="5">
        <v>16</v>
      </c>
      <c r="H71" s="5">
        <v>16</v>
      </c>
      <c r="I71" s="5">
        <v>12</v>
      </c>
      <c r="J71" s="5">
        <v>10</v>
      </c>
      <c r="L71" s="5">
        <v>5</v>
      </c>
      <c r="M71" s="5" t="s">
        <v>158</v>
      </c>
      <c r="N71" s="5" t="s">
        <v>315</v>
      </c>
      <c r="O71" s="5" t="s">
        <v>316</v>
      </c>
      <c r="Q71" s="5" t="s">
        <v>72</v>
      </c>
      <c r="R71" s="5">
        <f t="shared" si="1"/>
        <v>68</v>
      </c>
      <c r="S71" s="5" t="str">
        <f ca="1">IFERROR(__xludf.dummyfunction("""COMPUTED_VALUE"""),"NHÓM 5")</f>
        <v>NHÓM 5</v>
      </c>
      <c r="T71" s="5" t="str">
        <f ca="1">IFERROR(__xludf.dummyfunction("""COMPUTED_VALUE"""),"NHÓM 3")</f>
        <v>NHÓM 3</v>
      </c>
      <c r="U71" s="5" t="str">
        <f ca="1">IFERROR(__xludf.dummyfunction("IF(B71="""","""",""Zone ""&amp;IFERROR(VALUE(REGEXEXTRACT(TRIM(B71),""\d+"")),REGEXEXTRACT(TRIM(B71),""\d+"")))"),"Zone 3")</f>
        <v>Zone 3</v>
      </c>
    </row>
    <row r="72" spans="1:21" ht="22.5" hidden="1" customHeight="1" x14ac:dyDescent="0.25">
      <c r="A72" s="4">
        <v>46134.697871099503</v>
      </c>
      <c r="B72" s="5" t="s">
        <v>239</v>
      </c>
      <c r="C72" s="5" t="s">
        <v>74</v>
      </c>
      <c r="D72" s="5" t="s">
        <v>107</v>
      </c>
      <c r="E72" s="5" t="s">
        <v>118</v>
      </c>
      <c r="F72" s="5">
        <v>15</v>
      </c>
      <c r="G72" s="5">
        <v>20</v>
      </c>
      <c r="H72" s="5">
        <v>20</v>
      </c>
      <c r="I72" s="5">
        <v>12</v>
      </c>
      <c r="J72" s="5">
        <v>8</v>
      </c>
      <c r="L72" s="5">
        <v>4</v>
      </c>
      <c r="M72" s="5" t="s">
        <v>317</v>
      </c>
      <c r="N72" s="5" t="s">
        <v>318</v>
      </c>
      <c r="O72" s="5" t="s">
        <v>319</v>
      </c>
      <c r="Q72" s="5" t="s">
        <v>320</v>
      </c>
      <c r="R72" s="5">
        <f t="shared" si="1"/>
        <v>79</v>
      </c>
      <c r="S72" s="5" t="str">
        <f ca="1">IFERROR(__xludf.dummyfunction("""COMPUTED_VALUE"""),"NHÓM 3")</f>
        <v>NHÓM 3</v>
      </c>
      <c r="T72" s="5" t="str">
        <f ca="1">IFERROR(__xludf.dummyfunction("""COMPUTED_VALUE"""),"NHÓM 1")</f>
        <v>NHÓM 1</v>
      </c>
      <c r="U72" s="5" t="str">
        <f ca="1">IFERROR(__xludf.dummyfunction("IF(B72="""","""",""Zone ""&amp;IFERROR(VALUE(REGEXEXTRACT(TRIM(B72),""\d+"")),REGEXEXTRACT(TRIM(B72),""\d+"")))"),"Zone 5")</f>
        <v>Zone 5</v>
      </c>
    </row>
    <row r="73" spans="1:21" ht="22.5" hidden="1" customHeight="1" x14ac:dyDescent="0.25">
      <c r="A73" s="4">
        <v>46134.697957442098</v>
      </c>
      <c r="B73" s="5">
        <v>2</v>
      </c>
      <c r="C73" s="5" t="s">
        <v>141</v>
      </c>
      <c r="D73" s="5" t="s">
        <v>273</v>
      </c>
      <c r="E73" s="5" t="s">
        <v>274</v>
      </c>
      <c r="F73" s="5">
        <v>12</v>
      </c>
      <c r="G73" s="5">
        <v>16</v>
      </c>
      <c r="H73" s="5">
        <v>16</v>
      </c>
      <c r="I73" s="5">
        <v>12</v>
      </c>
      <c r="J73" s="5">
        <v>8</v>
      </c>
      <c r="L73" s="5">
        <v>5</v>
      </c>
      <c r="M73" s="5" t="s">
        <v>321</v>
      </c>
      <c r="N73" s="5" t="s">
        <v>322</v>
      </c>
      <c r="O73" s="5" t="s">
        <v>323</v>
      </c>
      <c r="Q73" s="5" t="s">
        <v>50</v>
      </c>
      <c r="R73" s="5">
        <f t="shared" si="1"/>
        <v>69</v>
      </c>
      <c r="S73" s="5" t="str">
        <f ca="1">IFERROR(__xludf.dummyfunction("""COMPUTED_VALUE"""),"NHÓM 2")</f>
        <v>NHÓM 2</v>
      </c>
      <c r="T73" s="5" t="str">
        <f ca="1">IFERROR(__xludf.dummyfunction("""COMPUTED_VALUE"""),"NHÓM 4")</f>
        <v>NHÓM 4</v>
      </c>
      <c r="U73" s="5" t="str">
        <f ca="1">IFERROR(__xludf.dummyfunction("IF(B73="""","""",""Zone ""&amp;IFERROR(VALUE(REGEXEXTRACT(TRIM(B73),""\d+"")),REGEXEXTRACT(TRIM(B73),""\d+"")))"),"Zone 2")</f>
        <v>Zone 2</v>
      </c>
    </row>
    <row r="74" spans="1:21" ht="22.5" hidden="1" customHeight="1" x14ac:dyDescent="0.25">
      <c r="A74" s="4">
        <v>46134.698308634303</v>
      </c>
      <c r="B74" s="5" t="s">
        <v>73</v>
      </c>
      <c r="C74" s="5" t="s">
        <v>74</v>
      </c>
      <c r="D74" s="5" t="s">
        <v>107</v>
      </c>
      <c r="E74" s="5" t="s">
        <v>324</v>
      </c>
      <c r="F74" s="5">
        <v>15</v>
      </c>
      <c r="G74" s="5">
        <v>20</v>
      </c>
      <c r="H74" s="5">
        <v>20</v>
      </c>
      <c r="I74" s="5">
        <v>15</v>
      </c>
      <c r="J74" s="5">
        <v>10</v>
      </c>
      <c r="L74" s="5">
        <v>5</v>
      </c>
      <c r="M74" s="5" t="s">
        <v>325</v>
      </c>
      <c r="N74" s="5" t="s">
        <v>326</v>
      </c>
      <c r="O74" s="5" t="s">
        <v>327</v>
      </c>
      <c r="Q74" s="5" t="s">
        <v>40</v>
      </c>
      <c r="R74" s="5">
        <f t="shared" si="1"/>
        <v>85</v>
      </c>
      <c r="S74" s="5" t="str">
        <f ca="1">IFERROR(__xludf.dummyfunction("""COMPUTED_VALUE"""),"NHÓM 3")</f>
        <v>NHÓM 3</v>
      </c>
      <c r="T74" s="5" t="str">
        <f ca="1">IFERROR(__xludf.dummyfunction("""COMPUTED_VALUE"""),"NHÓM 1")</f>
        <v>NHÓM 1</v>
      </c>
      <c r="U74" s="5" t="str">
        <f ca="1">IFERROR(__xludf.dummyfunction("IF(B74="""","""",""Zone ""&amp;IFERROR(VALUE(REGEXEXTRACT(TRIM(B74),""\d+"")),REGEXEXTRACT(TRIM(B74),""\d+"")))"),"Zone 3")</f>
        <v>Zone 3</v>
      </c>
    </row>
    <row r="75" spans="1:21" ht="22.5" hidden="1" customHeight="1" x14ac:dyDescent="0.25">
      <c r="A75" s="4">
        <v>46134.698889074098</v>
      </c>
      <c r="B75" s="5" t="s">
        <v>196</v>
      </c>
      <c r="C75" s="5" t="s">
        <v>107</v>
      </c>
      <c r="D75" s="5" t="s">
        <v>74</v>
      </c>
      <c r="E75" s="5" t="s">
        <v>328</v>
      </c>
      <c r="F75" s="5">
        <v>12</v>
      </c>
      <c r="G75" s="5">
        <v>16</v>
      </c>
      <c r="H75" s="5">
        <v>16</v>
      </c>
      <c r="I75" s="5">
        <v>12</v>
      </c>
      <c r="J75" s="5">
        <v>8</v>
      </c>
      <c r="L75" s="5">
        <v>4</v>
      </c>
      <c r="M75" s="5" t="s">
        <v>329</v>
      </c>
      <c r="N75" s="5" t="s">
        <v>330</v>
      </c>
      <c r="O75" s="5" t="s">
        <v>331</v>
      </c>
      <c r="R75" s="5">
        <f t="shared" si="1"/>
        <v>68</v>
      </c>
      <c r="S75" s="5" t="str">
        <f ca="1">IFERROR(__xludf.dummyfunction("""COMPUTED_VALUE"""),"NHÓM 1")</f>
        <v>NHÓM 1</v>
      </c>
      <c r="T75" s="5" t="str">
        <f ca="1">IFERROR(__xludf.dummyfunction("""COMPUTED_VALUE"""),"NHÓM 3")</f>
        <v>NHÓM 3</v>
      </c>
      <c r="U75" s="5" t="str">
        <f ca="1">IFERROR(__xludf.dummyfunction("IF(B75="""","""",""Zone ""&amp;IFERROR(VALUE(REGEXEXTRACT(TRIM(B75),""\d+"")),REGEXEXTRACT(TRIM(B75),""\d+"")))"),"Zone 1")</f>
        <v>Zone 1</v>
      </c>
    </row>
    <row r="76" spans="1:21" ht="22.5" hidden="1" customHeight="1" x14ac:dyDescent="0.25">
      <c r="A76" s="4">
        <v>46134.698952696803</v>
      </c>
      <c r="B76" s="5" t="s">
        <v>239</v>
      </c>
      <c r="C76" s="5" t="s">
        <v>257</v>
      </c>
      <c r="D76" s="5" t="s">
        <v>332</v>
      </c>
      <c r="E76" s="5" t="s">
        <v>333</v>
      </c>
      <c r="F76" s="5">
        <v>9</v>
      </c>
      <c r="G76" s="5">
        <v>12</v>
      </c>
      <c r="H76" s="5">
        <v>12</v>
      </c>
      <c r="I76" s="5">
        <v>9</v>
      </c>
      <c r="J76" s="5">
        <v>6</v>
      </c>
      <c r="L76" s="5">
        <v>3</v>
      </c>
      <c r="M76" s="5" t="s">
        <v>334</v>
      </c>
      <c r="N76" s="5" t="s">
        <v>335</v>
      </c>
      <c r="O76" s="5" t="s">
        <v>38</v>
      </c>
      <c r="Q76" s="5" t="s">
        <v>28</v>
      </c>
      <c r="R76" s="5">
        <f t="shared" si="1"/>
        <v>51</v>
      </c>
      <c r="S76" s="5" t="str">
        <f ca="1">IFERROR(__xludf.dummyfunction("""COMPUTED_VALUE"""),"NHÓM 3")</f>
        <v>NHÓM 3</v>
      </c>
      <c r="T76" s="5" t="str">
        <f ca="1">IFERROR(__xludf.dummyfunction("""COMPUTED_VALUE"""),"NHÓM 6")</f>
        <v>NHÓM 6</v>
      </c>
      <c r="U76" s="5" t="str">
        <f ca="1">IFERROR(__xludf.dummyfunction("IF(B76="""","""",""Zone ""&amp;IFERROR(VALUE(REGEXEXTRACT(TRIM(B76),""\d+"")),REGEXEXTRACT(TRIM(B76),""\d+"")))"),"Zone 5")</f>
        <v>Zone 5</v>
      </c>
    </row>
    <row r="77" spans="1:21" ht="22.5" hidden="1" customHeight="1" x14ac:dyDescent="0.25">
      <c r="A77" s="4">
        <v>46134.699325011599</v>
      </c>
      <c r="B77" s="5" t="s">
        <v>196</v>
      </c>
      <c r="C77" s="5" t="s">
        <v>221</v>
      </c>
      <c r="D77" s="5" t="s">
        <v>75</v>
      </c>
      <c r="E77" s="5" t="s">
        <v>336</v>
      </c>
      <c r="F77" s="5">
        <v>9</v>
      </c>
      <c r="G77" s="5">
        <v>16</v>
      </c>
      <c r="H77" s="5">
        <v>8</v>
      </c>
      <c r="I77" s="5">
        <v>12</v>
      </c>
      <c r="J77" s="5">
        <v>10</v>
      </c>
      <c r="L77" s="5">
        <v>4</v>
      </c>
      <c r="M77" s="5" t="s">
        <v>337</v>
      </c>
      <c r="N77" s="5" t="s">
        <v>338</v>
      </c>
      <c r="O77" s="5" t="s">
        <v>339</v>
      </c>
      <c r="Q77" s="5" t="s">
        <v>117</v>
      </c>
      <c r="R77" s="5">
        <f t="shared" si="1"/>
        <v>59</v>
      </c>
      <c r="S77" s="5" t="str">
        <f ca="1">IFERROR(__xludf.dummyfunction("""COMPUTED_VALUE"""),"NHÓM 2")</f>
        <v>NHÓM 2</v>
      </c>
      <c r="T77" s="5" t="str">
        <f ca="1">IFERROR(__xludf.dummyfunction("""COMPUTED_VALUE"""),"NHÓM 6")</f>
        <v>NHÓM 6</v>
      </c>
      <c r="U77" s="5" t="str">
        <f ca="1">IFERROR(__xludf.dummyfunction("IF(B77="""","""",""Zone ""&amp;IFERROR(VALUE(REGEXEXTRACT(TRIM(B77),""\d+"")),REGEXEXTRACT(TRIM(B77),""\d+"")))"),"Zone 1")</f>
        <v>Zone 1</v>
      </c>
    </row>
    <row r="78" spans="1:21" ht="22.5" hidden="1" customHeight="1" x14ac:dyDescent="0.25">
      <c r="A78" s="4">
        <v>46134.699353055599</v>
      </c>
      <c r="B78" s="5">
        <v>5</v>
      </c>
      <c r="C78" s="5" t="s">
        <v>80</v>
      </c>
      <c r="D78" s="5" t="s">
        <v>107</v>
      </c>
      <c r="E78" s="5" t="s">
        <v>340</v>
      </c>
      <c r="F78" s="5">
        <v>12</v>
      </c>
      <c r="G78" s="5">
        <v>12</v>
      </c>
      <c r="H78" s="5">
        <v>16</v>
      </c>
      <c r="I78" s="5">
        <v>9</v>
      </c>
      <c r="J78" s="5">
        <v>6</v>
      </c>
      <c r="L78" s="5">
        <v>4</v>
      </c>
      <c r="M78" s="5" t="s">
        <v>341</v>
      </c>
      <c r="N78" s="5" t="s">
        <v>342</v>
      </c>
      <c r="O78" s="5" t="s">
        <v>343</v>
      </c>
      <c r="R78" s="5">
        <f t="shared" si="1"/>
        <v>59</v>
      </c>
      <c r="S78" s="5" t="str">
        <f ca="1">IFERROR(__xludf.dummyfunction("""COMPUTED_VALUE"""),"NHÓM 3")</f>
        <v>NHÓM 3</v>
      </c>
      <c r="T78" s="5" t="str">
        <f ca="1">IFERROR(__xludf.dummyfunction("""COMPUTED_VALUE"""),"NHÓM 4")</f>
        <v>NHÓM 4</v>
      </c>
      <c r="U78" s="5" t="str">
        <f ca="1">IFERROR(__xludf.dummyfunction("IF(B78="""","""",""Zone ""&amp;IFERROR(VALUE(REGEXEXTRACT(TRIM(B78),""\d+"")),REGEXEXTRACT(TRIM(B78),""\d+"")))"),"Zone 5")</f>
        <v>Zone 5</v>
      </c>
    </row>
    <row r="79" spans="1:21" ht="22.5" hidden="1" customHeight="1" x14ac:dyDescent="0.25">
      <c r="A79" s="4">
        <v>46134.6996295602</v>
      </c>
      <c r="B79" s="5" t="s">
        <v>239</v>
      </c>
      <c r="C79" s="5" t="s">
        <v>101</v>
      </c>
      <c r="D79" s="5" t="s">
        <v>107</v>
      </c>
      <c r="E79" s="5" t="s">
        <v>344</v>
      </c>
      <c r="F79" s="5">
        <v>12</v>
      </c>
      <c r="G79" s="5">
        <v>16</v>
      </c>
      <c r="H79" s="5">
        <v>16</v>
      </c>
      <c r="I79" s="5">
        <v>15</v>
      </c>
      <c r="J79" s="5">
        <v>8</v>
      </c>
      <c r="L79" s="5">
        <v>4</v>
      </c>
      <c r="M79" s="5" t="s">
        <v>345</v>
      </c>
      <c r="N79" s="5" t="s">
        <v>346</v>
      </c>
      <c r="O79" s="5" t="s">
        <v>347</v>
      </c>
      <c r="R79" s="5">
        <f t="shared" si="1"/>
        <v>71</v>
      </c>
      <c r="S79" s="5" t="str">
        <f ca="1">IFERROR(__xludf.dummyfunction("""COMPUTED_VALUE"""),"NHÓM 3")</f>
        <v>NHÓM 3</v>
      </c>
      <c r="T79" s="5" t="str">
        <f ca="1">IFERROR(__xludf.dummyfunction("""COMPUTED_VALUE"""),"NHÓM 3")</f>
        <v>NHÓM 3</v>
      </c>
      <c r="U79" s="5" t="str">
        <f ca="1">IFERROR(__xludf.dummyfunction("IF(B79="""","""",""Zone ""&amp;IFERROR(VALUE(REGEXEXTRACT(TRIM(B79),""\d+"")),REGEXEXTRACT(TRIM(B79),""\d+"")))"),"Zone 5")</f>
        <v>Zone 5</v>
      </c>
    </row>
    <row r="80" spans="1:21" ht="22.5" hidden="1" customHeight="1" x14ac:dyDescent="0.25">
      <c r="A80" s="4">
        <v>46134.699655613404</v>
      </c>
      <c r="B80" s="5" t="s">
        <v>239</v>
      </c>
      <c r="C80" s="5" t="s">
        <v>215</v>
      </c>
      <c r="D80" s="5" t="s">
        <v>107</v>
      </c>
      <c r="E80" s="5" t="s">
        <v>348</v>
      </c>
      <c r="F80" s="5">
        <v>9</v>
      </c>
      <c r="G80" s="5">
        <v>8</v>
      </c>
      <c r="H80" s="5">
        <v>12</v>
      </c>
      <c r="I80" s="5">
        <v>12</v>
      </c>
      <c r="J80" s="5">
        <v>6</v>
      </c>
      <c r="L80" s="5">
        <v>4</v>
      </c>
      <c r="M80" s="5" t="s">
        <v>349</v>
      </c>
      <c r="N80" s="5" t="s">
        <v>350</v>
      </c>
      <c r="O80" s="5" t="s">
        <v>351</v>
      </c>
      <c r="Q80" s="5" t="s">
        <v>28</v>
      </c>
      <c r="R80" s="5">
        <f t="shared" si="1"/>
        <v>51</v>
      </c>
      <c r="S80" s="5" t="str">
        <f ca="1">IFERROR(__xludf.dummyfunction("""COMPUTED_VALUE"""),"NHÓM 3")</f>
        <v>NHÓM 3</v>
      </c>
      <c r="T80" s="5" t="str">
        <f ca="1">IFERROR(__xludf.dummyfunction("""COMPUTED_VALUE"""),"NHÓM 5")</f>
        <v>NHÓM 5</v>
      </c>
      <c r="U80" s="5" t="str">
        <f ca="1">IFERROR(__xludf.dummyfunction("IF(B80="""","""",""Zone ""&amp;IFERROR(VALUE(REGEXEXTRACT(TRIM(B80),""\d+"")),REGEXEXTRACT(TRIM(B80),""\d+"")))"),"Zone 5")</f>
        <v>Zone 5</v>
      </c>
    </row>
    <row r="81" spans="1:21" ht="22.5" hidden="1" customHeight="1" x14ac:dyDescent="0.25">
      <c r="A81" s="4">
        <v>46134.700114687497</v>
      </c>
      <c r="B81" s="5" t="s">
        <v>196</v>
      </c>
      <c r="C81" s="5" t="s">
        <v>74</v>
      </c>
      <c r="D81" s="5" t="s">
        <v>107</v>
      </c>
      <c r="E81" s="5" t="s">
        <v>352</v>
      </c>
      <c r="F81" s="5">
        <v>6</v>
      </c>
      <c r="G81" s="5">
        <v>16</v>
      </c>
      <c r="H81" s="5">
        <v>20</v>
      </c>
      <c r="I81" s="5">
        <v>12</v>
      </c>
      <c r="J81" s="5">
        <v>10</v>
      </c>
      <c r="L81" s="5">
        <v>4</v>
      </c>
      <c r="M81" s="5" t="s">
        <v>353</v>
      </c>
      <c r="N81" s="5" t="s">
        <v>354</v>
      </c>
      <c r="O81" s="5" t="s">
        <v>355</v>
      </c>
      <c r="Q81" s="5" t="s">
        <v>50</v>
      </c>
      <c r="R81" s="5">
        <f t="shared" si="1"/>
        <v>68</v>
      </c>
      <c r="S81" s="5" t="str">
        <f ca="1">IFERROR(__xludf.dummyfunction("""COMPUTED_VALUE"""),"NHÓM 3")</f>
        <v>NHÓM 3</v>
      </c>
      <c r="T81" s="5" t="str">
        <f ca="1">IFERROR(__xludf.dummyfunction("""COMPUTED_VALUE"""),"NHÓM 1")</f>
        <v>NHÓM 1</v>
      </c>
      <c r="U81" s="5" t="str">
        <f ca="1">IFERROR(__xludf.dummyfunction("IF(B81="""","""",""Zone ""&amp;IFERROR(VALUE(REGEXEXTRACT(TRIM(B81),""\d+"")),REGEXEXTRACT(TRIM(B81),""\d+"")))"),"Zone 1")</f>
        <v>Zone 1</v>
      </c>
    </row>
    <row r="82" spans="1:21" ht="22.5" hidden="1" customHeight="1" x14ac:dyDescent="0.25">
      <c r="A82" s="4">
        <v>46134.700755659702</v>
      </c>
      <c r="B82" s="5" t="s">
        <v>239</v>
      </c>
      <c r="C82" s="5" t="s">
        <v>74</v>
      </c>
      <c r="D82" s="5" t="s">
        <v>107</v>
      </c>
      <c r="E82" s="5" t="s">
        <v>356</v>
      </c>
      <c r="F82" s="5">
        <v>15</v>
      </c>
      <c r="G82" s="5">
        <v>20</v>
      </c>
      <c r="H82" s="5">
        <v>20</v>
      </c>
      <c r="I82" s="5">
        <v>15</v>
      </c>
      <c r="J82" s="5">
        <v>10</v>
      </c>
      <c r="L82" s="5">
        <v>4</v>
      </c>
      <c r="M82" s="5" t="s">
        <v>357</v>
      </c>
      <c r="N82" s="5" t="s">
        <v>358</v>
      </c>
      <c r="O82" s="5" t="s">
        <v>359</v>
      </c>
      <c r="Q82" s="5" t="s">
        <v>360</v>
      </c>
      <c r="R82" s="5">
        <f t="shared" si="1"/>
        <v>84</v>
      </c>
      <c r="S82" s="5" t="str">
        <f ca="1">IFERROR(__xludf.dummyfunction("""COMPUTED_VALUE"""),"NHÓM 3")</f>
        <v>NHÓM 3</v>
      </c>
      <c r="T82" s="5" t="str">
        <f ca="1">IFERROR(__xludf.dummyfunction("""COMPUTED_VALUE"""),"NHÓM 1")</f>
        <v>NHÓM 1</v>
      </c>
      <c r="U82" s="5" t="str">
        <f ca="1">IFERROR(__xludf.dummyfunction("IF(B82="""","""",""Zone ""&amp;IFERROR(VALUE(REGEXEXTRACT(TRIM(B82),""\d+"")),REGEXEXTRACT(TRIM(B82),""\d+"")))"),"Zone 5")</f>
        <v>Zone 5</v>
      </c>
    </row>
    <row r="83" spans="1:21" ht="22.5" hidden="1" customHeight="1" x14ac:dyDescent="0.25">
      <c r="A83" s="4">
        <v>46134.701356099496</v>
      </c>
      <c r="B83" s="5" t="s">
        <v>106</v>
      </c>
      <c r="C83" s="5" t="s">
        <v>96</v>
      </c>
      <c r="D83" s="5" t="s">
        <v>258</v>
      </c>
      <c r="E83" s="5" t="s">
        <v>361</v>
      </c>
      <c r="F83" s="5">
        <v>15</v>
      </c>
      <c r="G83" s="5">
        <v>20</v>
      </c>
      <c r="H83" s="5">
        <v>20</v>
      </c>
      <c r="I83" s="5">
        <v>15</v>
      </c>
      <c r="J83" s="5">
        <v>10</v>
      </c>
      <c r="L83" s="5">
        <v>5</v>
      </c>
      <c r="M83" s="5" t="s">
        <v>362</v>
      </c>
      <c r="N83" s="5" t="s">
        <v>363</v>
      </c>
      <c r="O83" s="5" t="s">
        <v>364</v>
      </c>
      <c r="Q83" s="5" t="s">
        <v>365</v>
      </c>
      <c r="R83" s="5">
        <f t="shared" si="1"/>
        <v>85</v>
      </c>
      <c r="S83" s="5" t="str">
        <f ca="1">IFERROR(__xludf.dummyfunction("""COMPUTED_VALUE"""),"NHÓM 2")</f>
        <v>NHÓM 2</v>
      </c>
      <c r="T83" s="5" t="str">
        <f ca="1">IFERROR(__xludf.dummyfunction("""COMPUTED_VALUE"""),"NHÓM 1")</f>
        <v>NHÓM 1</v>
      </c>
      <c r="U83" s="5" t="str">
        <f ca="1">IFERROR(__xludf.dummyfunction("IF(B83="""","""",""Zone ""&amp;IFERROR(VALUE(REGEXEXTRACT(TRIM(B83),""\d+"")),REGEXEXTRACT(TRIM(B83),""\d+"")))"),"Zone 2")</f>
        <v>Zone 2</v>
      </c>
    </row>
    <row r="84" spans="1:21" ht="22.5" hidden="1" customHeight="1" x14ac:dyDescent="0.25">
      <c r="A84" s="4">
        <v>46134.702415636602</v>
      </c>
      <c r="B84" s="5" t="s">
        <v>196</v>
      </c>
      <c r="C84" s="5" t="s">
        <v>221</v>
      </c>
      <c r="D84" s="5" t="s">
        <v>107</v>
      </c>
      <c r="E84" s="5" t="s">
        <v>366</v>
      </c>
      <c r="F84" s="5">
        <v>12</v>
      </c>
      <c r="G84" s="5">
        <v>8</v>
      </c>
      <c r="H84" s="5">
        <v>16</v>
      </c>
      <c r="I84" s="5">
        <v>15</v>
      </c>
      <c r="J84" s="5">
        <v>8</v>
      </c>
      <c r="L84" s="5">
        <v>4</v>
      </c>
      <c r="M84" s="5" t="s">
        <v>367</v>
      </c>
      <c r="N84" s="5" t="s">
        <v>368</v>
      </c>
      <c r="O84" s="5" t="s">
        <v>38</v>
      </c>
      <c r="Q84" s="5" t="s">
        <v>28</v>
      </c>
      <c r="R84" s="5">
        <f t="shared" si="1"/>
        <v>63</v>
      </c>
      <c r="S84" s="5" t="str">
        <f ca="1">IFERROR(__xludf.dummyfunction("""COMPUTED_VALUE"""),"NHÓM 3")</f>
        <v>NHÓM 3</v>
      </c>
      <c r="T84" s="5" t="str">
        <f ca="1">IFERROR(__xludf.dummyfunction("""COMPUTED_VALUE"""),"NHÓM 6")</f>
        <v>NHÓM 6</v>
      </c>
      <c r="U84" s="5" t="str">
        <f ca="1">IFERROR(__xludf.dummyfunction("IF(B84="""","""",""Zone ""&amp;IFERROR(VALUE(REGEXEXTRACT(TRIM(B84),""\d+"")),REGEXEXTRACT(TRIM(B84),""\d+"")))"),"Zone 1")</f>
        <v>Zone 1</v>
      </c>
    </row>
    <row r="85" spans="1:21" ht="22.5" hidden="1" customHeight="1" x14ac:dyDescent="0.25">
      <c r="A85" s="4">
        <v>46134.703109988397</v>
      </c>
      <c r="B85" s="5" t="s">
        <v>196</v>
      </c>
      <c r="C85" s="5" t="s">
        <v>75</v>
      </c>
      <c r="D85" s="5" t="s">
        <v>74</v>
      </c>
      <c r="E85" s="5" t="s">
        <v>369</v>
      </c>
      <c r="F85" s="5">
        <v>15</v>
      </c>
      <c r="G85" s="5">
        <v>16</v>
      </c>
      <c r="H85" s="5">
        <v>20</v>
      </c>
      <c r="I85" s="5">
        <v>15</v>
      </c>
      <c r="J85" s="5">
        <v>10</v>
      </c>
      <c r="L85" s="5">
        <v>5</v>
      </c>
      <c r="M85" s="5" t="s">
        <v>370</v>
      </c>
      <c r="N85" s="5" t="s">
        <v>371</v>
      </c>
      <c r="O85" s="5" t="s">
        <v>372</v>
      </c>
      <c r="Q85" s="5" t="s">
        <v>373</v>
      </c>
      <c r="R85" s="5">
        <f t="shared" si="1"/>
        <v>81</v>
      </c>
      <c r="S85" s="5" t="str">
        <f ca="1">IFERROR(__xludf.dummyfunction("""COMPUTED_VALUE"""),"NHÓM 1")</f>
        <v>NHÓM 1</v>
      </c>
      <c r="T85" s="5" t="str">
        <f ca="1">IFERROR(__xludf.dummyfunction("""COMPUTED_VALUE"""),"NHÓM 2")</f>
        <v>NHÓM 2</v>
      </c>
      <c r="U85" s="5" t="str">
        <f ca="1">IFERROR(__xludf.dummyfunction("IF(B85="""","""",""Zone ""&amp;IFERROR(VALUE(REGEXEXTRACT(TRIM(B85),""\d+"")),REGEXEXTRACT(TRIM(B85),""\d+"")))"),"Zone 1")</f>
        <v>Zone 1</v>
      </c>
    </row>
    <row r="86" spans="1:21" ht="22.5" hidden="1" customHeight="1" x14ac:dyDescent="0.25">
      <c r="A86" s="4">
        <v>46134.704480648201</v>
      </c>
      <c r="B86" s="5" t="s">
        <v>196</v>
      </c>
      <c r="C86" s="5" t="s">
        <v>215</v>
      </c>
      <c r="D86" s="5" t="s">
        <v>74</v>
      </c>
      <c r="E86" s="5" t="s">
        <v>374</v>
      </c>
      <c r="F86" s="5">
        <v>12</v>
      </c>
      <c r="G86" s="5">
        <v>16</v>
      </c>
      <c r="H86" s="5">
        <v>16</v>
      </c>
      <c r="I86" s="5">
        <v>12</v>
      </c>
      <c r="J86" s="5">
        <v>8</v>
      </c>
      <c r="L86" s="5">
        <v>4</v>
      </c>
      <c r="M86" s="5" t="s">
        <v>375</v>
      </c>
      <c r="N86" s="5" t="s">
        <v>376</v>
      </c>
      <c r="O86" s="5" t="s">
        <v>377</v>
      </c>
      <c r="Q86" s="5" t="s">
        <v>220</v>
      </c>
      <c r="R86" s="5">
        <f t="shared" si="1"/>
        <v>68</v>
      </c>
      <c r="S86" s="5" t="str">
        <f ca="1">IFERROR(__xludf.dummyfunction("""COMPUTED_VALUE"""),"NHÓM 1")</f>
        <v>NHÓM 1</v>
      </c>
      <c r="T86" s="5" t="str">
        <f ca="1">IFERROR(__xludf.dummyfunction("""COMPUTED_VALUE"""),"NHÓM 5")</f>
        <v>NHÓM 5</v>
      </c>
      <c r="U86" s="5" t="str">
        <f ca="1">IFERROR(__xludf.dummyfunction("IF(B86="""","""",""Zone ""&amp;IFERROR(VALUE(REGEXEXTRACT(TRIM(B86),""\d+"")),REGEXEXTRACT(TRIM(B86),""\d+"")))"),"Zone 1")</f>
        <v>Zone 1</v>
      </c>
    </row>
    <row r="87" spans="1:21" ht="22.5" hidden="1" customHeight="1" x14ac:dyDescent="0.25">
      <c r="A87" s="4">
        <v>46134.704650497697</v>
      </c>
      <c r="B87" s="5" t="s">
        <v>196</v>
      </c>
      <c r="C87" s="5" t="s">
        <v>215</v>
      </c>
      <c r="D87" s="5" t="s">
        <v>107</v>
      </c>
      <c r="E87" s="5" t="s">
        <v>378</v>
      </c>
      <c r="F87" s="5">
        <v>15</v>
      </c>
      <c r="G87" s="5">
        <v>16</v>
      </c>
      <c r="H87" s="5">
        <v>12</v>
      </c>
      <c r="I87" s="5">
        <v>12</v>
      </c>
      <c r="J87" s="5">
        <v>8</v>
      </c>
      <c r="L87" s="5">
        <v>4</v>
      </c>
      <c r="M87" s="5" t="s">
        <v>379</v>
      </c>
      <c r="N87" s="5" t="s">
        <v>380</v>
      </c>
      <c r="O87" s="5" t="s">
        <v>381</v>
      </c>
      <c r="Q87" s="5" t="s">
        <v>50</v>
      </c>
      <c r="R87" s="5">
        <f t="shared" si="1"/>
        <v>67</v>
      </c>
      <c r="S87" s="5" t="str">
        <f ca="1">IFERROR(__xludf.dummyfunction("""COMPUTED_VALUE"""),"NHÓM 3")</f>
        <v>NHÓM 3</v>
      </c>
      <c r="T87" s="5" t="str">
        <f ca="1">IFERROR(__xludf.dummyfunction("""COMPUTED_VALUE"""),"NHÓM 5")</f>
        <v>NHÓM 5</v>
      </c>
      <c r="U87" s="5" t="str">
        <f ca="1">IFERROR(__xludf.dummyfunction("IF(B87="""","""",""Zone ""&amp;IFERROR(VALUE(REGEXEXTRACT(TRIM(B87),""\d+"")),REGEXEXTRACT(TRIM(B87),""\d+"")))"),"Zone 1")</f>
        <v>Zone 1</v>
      </c>
    </row>
    <row r="88" spans="1:21" ht="22.5" hidden="1" customHeight="1" x14ac:dyDescent="0.25">
      <c r="A88" s="4">
        <v>46134.705300115696</v>
      </c>
      <c r="B88" s="5" t="s">
        <v>196</v>
      </c>
      <c r="C88" s="5" t="s">
        <v>75</v>
      </c>
      <c r="D88" s="5" t="s">
        <v>107</v>
      </c>
      <c r="E88" s="5" t="s">
        <v>382</v>
      </c>
      <c r="F88" s="5">
        <v>12</v>
      </c>
      <c r="G88" s="5">
        <v>8</v>
      </c>
      <c r="H88" s="5">
        <v>12</v>
      </c>
      <c r="I88" s="5">
        <v>12</v>
      </c>
      <c r="J88" s="5">
        <v>4</v>
      </c>
      <c r="L88" s="5">
        <v>4</v>
      </c>
      <c r="M88" s="5" t="s">
        <v>383</v>
      </c>
      <c r="N88" s="5" t="s">
        <v>384</v>
      </c>
      <c r="O88" s="5" t="s">
        <v>385</v>
      </c>
      <c r="R88" s="5">
        <f t="shared" si="1"/>
        <v>52</v>
      </c>
      <c r="S88" s="5" t="str">
        <f ca="1">IFERROR(__xludf.dummyfunction("""COMPUTED_VALUE"""),"NHÓM 3")</f>
        <v>NHÓM 3</v>
      </c>
      <c r="T88" s="5" t="str">
        <f ca="1">IFERROR(__xludf.dummyfunction("""COMPUTED_VALUE"""),"NHÓM 2")</f>
        <v>NHÓM 2</v>
      </c>
      <c r="U88" s="5" t="str">
        <f ca="1">IFERROR(__xludf.dummyfunction("IF(B88="""","""",""Zone ""&amp;IFERROR(VALUE(REGEXEXTRACT(TRIM(B88),""\d+"")),REGEXEXTRACT(TRIM(B88),""\d+"")))"),"Zone 1")</f>
        <v>Zone 1</v>
      </c>
    </row>
    <row r="89" spans="1:21" ht="22.5" hidden="1" customHeight="1" x14ac:dyDescent="0.25">
      <c r="A89" s="4">
        <v>46134.705976666701</v>
      </c>
      <c r="B89" s="5" t="s">
        <v>106</v>
      </c>
      <c r="C89" s="5" t="s">
        <v>386</v>
      </c>
      <c r="D89" s="5" t="s">
        <v>141</v>
      </c>
      <c r="E89" s="5" t="s">
        <v>387</v>
      </c>
      <c r="F89" s="5">
        <v>12</v>
      </c>
      <c r="G89" s="5">
        <v>16</v>
      </c>
      <c r="H89" s="5">
        <v>16</v>
      </c>
      <c r="I89" s="5">
        <v>12</v>
      </c>
      <c r="J89" s="5">
        <v>8</v>
      </c>
      <c r="L89" s="5">
        <v>4</v>
      </c>
      <c r="M89" s="5" t="s">
        <v>388</v>
      </c>
      <c r="N89" s="5" t="s">
        <v>389</v>
      </c>
      <c r="O89" s="5" t="s">
        <v>390</v>
      </c>
      <c r="Q89" s="5" t="s">
        <v>168</v>
      </c>
      <c r="R89" s="5">
        <f t="shared" si="1"/>
        <v>68</v>
      </c>
      <c r="S89" s="5" t="str">
        <f ca="1">IFERROR(__xludf.dummyfunction("""COMPUTED_VALUE"""),"NHÓM 4")</f>
        <v>NHÓM 4</v>
      </c>
      <c r="T89" s="5" t="str">
        <f ca="1">IFERROR(__xludf.dummyfunction("""COMPUTED_VALUE"""),"NHÓM 1")</f>
        <v>NHÓM 1</v>
      </c>
      <c r="U89" s="5" t="str">
        <f ca="1">IFERROR(__xludf.dummyfunction("IF(B89="""","""",""Zone ""&amp;IFERROR(VALUE(REGEXEXTRACT(TRIM(B89),""\d+"")),REGEXEXTRACT(TRIM(B89),""\d+"")))"),"Zone 2")</f>
        <v>Zone 2</v>
      </c>
    </row>
    <row r="90" spans="1:21" ht="22.5" hidden="1" customHeight="1" x14ac:dyDescent="0.25">
      <c r="A90" s="4">
        <v>46134.705997245401</v>
      </c>
      <c r="B90" s="5" t="s">
        <v>106</v>
      </c>
      <c r="C90" s="5" t="s">
        <v>75</v>
      </c>
      <c r="D90" s="5" t="s">
        <v>80</v>
      </c>
      <c r="E90" s="5" t="s">
        <v>391</v>
      </c>
      <c r="F90" s="5">
        <v>12</v>
      </c>
      <c r="G90" s="5">
        <v>20</v>
      </c>
      <c r="H90" s="5">
        <v>16</v>
      </c>
      <c r="I90" s="5">
        <v>15</v>
      </c>
      <c r="J90" s="5">
        <v>10</v>
      </c>
      <c r="L90" s="5">
        <v>4</v>
      </c>
      <c r="M90" s="5" t="s">
        <v>392</v>
      </c>
      <c r="N90" s="5" t="s">
        <v>393</v>
      </c>
      <c r="O90" s="5" t="s">
        <v>111</v>
      </c>
      <c r="Q90" s="5" t="s">
        <v>394</v>
      </c>
      <c r="R90" s="5">
        <f t="shared" si="1"/>
        <v>77</v>
      </c>
      <c r="S90" s="5" t="str">
        <f ca="1">IFERROR(__xludf.dummyfunction("""COMPUTED_VALUE"""),"NHÓM 4")</f>
        <v>NHÓM 4</v>
      </c>
      <c r="T90" s="5" t="str">
        <f ca="1">IFERROR(__xludf.dummyfunction("""COMPUTED_VALUE"""),"NHÓM 2")</f>
        <v>NHÓM 2</v>
      </c>
      <c r="U90" s="5" t="str">
        <f ca="1">IFERROR(__xludf.dummyfunction("IF(B90="""","""",""Zone ""&amp;IFERROR(VALUE(REGEXEXTRACT(TRIM(B90),""\d+"")),REGEXEXTRACT(TRIM(B90),""\d+"")))"),"Zone 2")</f>
        <v>Zone 2</v>
      </c>
    </row>
    <row r="91" spans="1:21" ht="22.5" hidden="1" customHeight="1" x14ac:dyDescent="0.25">
      <c r="A91" s="4">
        <v>46134.7060837963</v>
      </c>
      <c r="B91" s="5" t="s">
        <v>106</v>
      </c>
      <c r="C91" s="5" t="s">
        <v>112</v>
      </c>
      <c r="D91" s="5" t="s">
        <v>141</v>
      </c>
      <c r="E91" s="5" t="s">
        <v>395</v>
      </c>
      <c r="F91" s="5">
        <v>12</v>
      </c>
      <c r="G91" s="5">
        <v>12</v>
      </c>
      <c r="H91" s="5">
        <v>16</v>
      </c>
      <c r="I91" s="5">
        <v>15</v>
      </c>
      <c r="J91" s="5">
        <v>8</v>
      </c>
      <c r="L91" s="5">
        <v>4</v>
      </c>
      <c r="M91" s="5" t="s">
        <v>396</v>
      </c>
      <c r="N91" s="5" t="s">
        <v>397</v>
      </c>
      <c r="O91" s="5" t="s">
        <v>137</v>
      </c>
      <c r="Q91" s="5" t="s">
        <v>202</v>
      </c>
      <c r="R91" s="5">
        <f t="shared" si="1"/>
        <v>67</v>
      </c>
      <c r="S91" s="5" t="str">
        <f ca="1">IFERROR(__xludf.dummyfunction("""COMPUTED_VALUE"""),"NHÓM 4")</f>
        <v>NHÓM 4</v>
      </c>
      <c r="T91" s="5" t="str">
        <f ca="1">IFERROR(__xludf.dummyfunction("""COMPUTED_VALUE"""),"NHÓM 6")</f>
        <v>NHÓM 6</v>
      </c>
      <c r="U91" s="5" t="str">
        <f ca="1">IFERROR(__xludf.dummyfunction("IF(B91="""","""",""Zone ""&amp;IFERROR(VALUE(REGEXEXTRACT(TRIM(B91),""\d+"")),REGEXEXTRACT(TRIM(B91),""\d+"")))"),"Zone 2")</f>
        <v>Zone 2</v>
      </c>
    </row>
    <row r="92" spans="1:21" ht="22.5" hidden="1" customHeight="1" x14ac:dyDescent="0.25">
      <c r="A92" s="4">
        <v>46134.706165567099</v>
      </c>
      <c r="B92" s="5" t="s">
        <v>73</v>
      </c>
      <c r="C92" s="5">
        <v>6</v>
      </c>
      <c r="D92" s="5">
        <v>3</v>
      </c>
      <c r="E92" s="5" t="s">
        <v>398</v>
      </c>
      <c r="F92" s="5">
        <v>15</v>
      </c>
      <c r="G92" s="5">
        <v>16</v>
      </c>
      <c r="H92" s="5">
        <v>20</v>
      </c>
      <c r="I92" s="5">
        <v>9</v>
      </c>
      <c r="J92" s="5">
        <v>8</v>
      </c>
      <c r="L92" s="5">
        <v>4</v>
      </c>
      <c r="M92" s="5" t="s">
        <v>399</v>
      </c>
      <c r="N92" s="5" t="s">
        <v>400</v>
      </c>
      <c r="O92" s="5" t="s">
        <v>401</v>
      </c>
      <c r="R92" s="5">
        <f t="shared" si="1"/>
        <v>72</v>
      </c>
      <c r="S92" s="5" t="str">
        <f ca="1">IFERROR(__xludf.dummyfunction("""COMPUTED_VALUE"""),"NHÓM 3")</f>
        <v>NHÓM 3</v>
      </c>
      <c r="T92" s="5" t="str">
        <f ca="1">IFERROR(__xludf.dummyfunction("""COMPUTED_VALUE"""),"NHÓM 6")</f>
        <v>NHÓM 6</v>
      </c>
      <c r="U92" s="5" t="str">
        <f ca="1">IFERROR(__xludf.dummyfunction("IF(B92="""","""",""Zone ""&amp;IFERROR(VALUE(REGEXEXTRACT(TRIM(B92),""\d+"")),REGEXEXTRACT(TRIM(B92),""\d+"")))"),"Zone 3")</f>
        <v>Zone 3</v>
      </c>
    </row>
    <row r="93" spans="1:21" ht="22.5" hidden="1" customHeight="1" x14ac:dyDescent="0.25">
      <c r="A93" s="4">
        <v>46134.706187291697</v>
      </c>
      <c r="B93" s="5" t="s">
        <v>127</v>
      </c>
      <c r="C93" s="5" t="s">
        <v>128</v>
      </c>
      <c r="D93" s="5" t="s">
        <v>100</v>
      </c>
      <c r="E93" s="5" t="s">
        <v>402</v>
      </c>
      <c r="F93" s="5">
        <v>12</v>
      </c>
      <c r="G93" s="5">
        <v>16</v>
      </c>
      <c r="H93" s="5">
        <v>20</v>
      </c>
      <c r="I93" s="5">
        <v>15</v>
      </c>
      <c r="J93" s="5">
        <v>8</v>
      </c>
      <c r="L93" s="5">
        <v>5</v>
      </c>
      <c r="M93" s="5" t="s">
        <v>403</v>
      </c>
      <c r="N93" s="5" t="s">
        <v>404</v>
      </c>
      <c r="O93" s="5" t="s">
        <v>405</v>
      </c>
      <c r="Q93" s="5" t="s">
        <v>28</v>
      </c>
      <c r="R93" s="5">
        <f t="shared" si="1"/>
        <v>76</v>
      </c>
      <c r="S93" s="5" t="str">
        <f ca="1">IFERROR(__xludf.dummyfunction("""COMPUTED_VALUE"""),"NHÓM 1")</f>
        <v>NHÓM 1</v>
      </c>
      <c r="T93" s="5" t="str">
        <f ca="1">IFERROR(__xludf.dummyfunction("""COMPUTED_VALUE"""),"NHÓM 2")</f>
        <v>NHÓM 2</v>
      </c>
      <c r="U93" s="5" t="str">
        <f ca="1">IFERROR(__xludf.dummyfunction("IF(B93="""","""",""Zone ""&amp;IFERROR(VALUE(REGEXEXTRACT(TRIM(B93),""\d+"")),REGEXEXTRACT(TRIM(B93),""\d+"")))"),"Zone 6")</f>
        <v>Zone 6</v>
      </c>
    </row>
    <row r="94" spans="1:21" ht="22.5" hidden="1" customHeight="1" x14ac:dyDescent="0.25">
      <c r="A94" s="4">
        <v>46134.706237326398</v>
      </c>
      <c r="B94" s="5" t="s">
        <v>239</v>
      </c>
      <c r="C94" s="5" t="s">
        <v>257</v>
      </c>
      <c r="D94" s="5" t="s">
        <v>406</v>
      </c>
      <c r="E94" s="5" t="s">
        <v>407</v>
      </c>
      <c r="F94" s="5">
        <v>12</v>
      </c>
      <c r="G94" s="5">
        <v>16</v>
      </c>
      <c r="H94" s="5">
        <v>12</v>
      </c>
      <c r="I94" s="5">
        <v>12</v>
      </c>
      <c r="J94" s="5">
        <v>8</v>
      </c>
      <c r="L94" s="5">
        <v>4</v>
      </c>
      <c r="M94" s="5" t="s">
        <v>408</v>
      </c>
      <c r="N94" s="5" t="s">
        <v>98</v>
      </c>
      <c r="O94" s="5" t="s">
        <v>98</v>
      </c>
      <c r="Q94" s="5" t="s">
        <v>50</v>
      </c>
      <c r="R94" s="5">
        <f t="shared" si="1"/>
        <v>64</v>
      </c>
      <c r="S94" s="5" t="str">
        <f ca="1">IFERROR(__xludf.dummyfunction("""COMPUTED_VALUE"""),"NHÓM 4")</f>
        <v>NHÓM 4</v>
      </c>
      <c r="T94" s="5" t="str">
        <f ca="1">IFERROR(__xludf.dummyfunction("""COMPUTED_VALUE"""),"NHÓM 6")</f>
        <v>NHÓM 6</v>
      </c>
      <c r="U94" s="5" t="str">
        <f ca="1">IFERROR(__xludf.dummyfunction("IF(B94="""","""",""Zone ""&amp;IFERROR(VALUE(REGEXEXTRACT(TRIM(B94),""\d+"")),REGEXEXTRACT(TRIM(B94),""\d+"")))"),"Zone 5")</f>
        <v>Zone 5</v>
      </c>
    </row>
    <row r="95" spans="1:21" ht="22.5" hidden="1" customHeight="1" x14ac:dyDescent="0.25">
      <c r="A95" s="4">
        <v>46134.706283692103</v>
      </c>
      <c r="B95" s="5" t="s">
        <v>106</v>
      </c>
      <c r="C95" s="5" t="s">
        <v>133</v>
      </c>
      <c r="D95" s="5" t="s">
        <v>141</v>
      </c>
      <c r="E95" s="5" t="s">
        <v>409</v>
      </c>
      <c r="F95" s="5">
        <v>9</v>
      </c>
      <c r="G95" s="5">
        <v>12</v>
      </c>
      <c r="H95" s="5">
        <v>16</v>
      </c>
      <c r="I95" s="5">
        <v>9</v>
      </c>
      <c r="J95" s="5">
        <v>6</v>
      </c>
      <c r="L95" s="5">
        <v>3</v>
      </c>
      <c r="M95" s="5" t="s">
        <v>410</v>
      </c>
      <c r="N95" s="5" t="s">
        <v>411</v>
      </c>
      <c r="O95" s="5" t="s">
        <v>412</v>
      </c>
      <c r="R95" s="5">
        <f t="shared" si="1"/>
        <v>55</v>
      </c>
      <c r="S95" s="5" t="str">
        <f ca="1">IFERROR(__xludf.dummyfunction("""COMPUTED_VALUE"""),"NHÓM 4")</f>
        <v>NHÓM 4</v>
      </c>
      <c r="T95" s="5" t="str">
        <f ca="1">IFERROR(__xludf.dummyfunction("""COMPUTED_VALUE"""),"NHÓM 5")</f>
        <v>NHÓM 5</v>
      </c>
      <c r="U95" s="5" t="str">
        <f ca="1">IFERROR(__xludf.dummyfunction("IF(B95="""","""",""Zone ""&amp;IFERROR(VALUE(REGEXEXTRACT(TRIM(B95),""\d+"")),REGEXEXTRACT(TRIM(B95),""\d+"")))"),"Zone 2")</f>
        <v>Zone 2</v>
      </c>
    </row>
    <row r="96" spans="1:21" ht="22.5" hidden="1" customHeight="1" x14ac:dyDescent="0.25">
      <c r="A96" s="4">
        <v>46134.706616713003</v>
      </c>
      <c r="B96" s="5" t="s">
        <v>239</v>
      </c>
      <c r="C96" s="5" t="s">
        <v>240</v>
      </c>
      <c r="D96" s="5" t="s">
        <v>413</v>
      </c>
      <c r="E96" s="5" t="s">
        <v>414</v>
      </c>
      <c r="F96" s="5">
        <v>15</v>
      </c>
      <c r="G96" s="5">
        <v>20</v>
      </c>
      <c r="H96" s="5">
        <v>16</v>
      </c>
      <c r="I96" s="5">
        <v>12</v>
      </c>
      <c r="J96" s="5">
        <v>8</v>
      </c>
      <c r="L96" s="5">
        <v>5</v>
      </c>
      <c r="M96" s="5" t="s">
        <v>415</v>
      </c>
      <c r="N96" s="5" t="s">
        <v>416</v>
      </c>
      <c r="O96" s="5" t="s">
        <v>417</v>
      </c>
      <c r="Q96" s="5" t="s">
        <v>40</v>
      </c>
      <c r="R96" s="5">
        <f t="shared" si="1"/>
        <v>76</v>
      </c>
      <c r="S96" s="5" t="str">
        <f ca="1">IFERROR(__xludf.dummyfunction("""COMPUTED_VALUE"""),"NHÓM 4")</f>
        <v>NHÓM 4</v>
      </c>
      <c r="T96" s="5" t="str">
        <f ca="1">IFERROR(__xludf.dummyfunction("""COMPUTED_VALUE"""),"NHÓM 1")</f>
        <v>NHÓM 1</v>
      </c>
      <c r="U96" s="5" t="str">
        <f ca="1">IFERROR(__xludf.dummyfunction("IF(B96="""","""",""Zone ""&amp;IFERROR(VALUE(REGEXEXTRACT(TRIM(B96),""\d+"")),REGEXEXTRACT(TRIM(B96),""\d+"")))"),"Zone 5")</f>
        <v>Zone 5</v>
      </c>
    </row>
    <row r="97" spans="1:21" ht="22.5" hidden="1" customHeight="1" x14ac:dyDescent="0.25">
      <c r="A97" s="4">
        <v>46134.7066437963</v>
      </c>
      <c r="B97" s="5" t="s">
        <v>239</v>
      </c>
      <c r="C97" s="5" t="s">
        <v>215</v>
      </c>
      <c r="D97" s="5" t="s">
        <v>80</v>
      </c>
      <c r="E97" s="5" t="s">
        <v>418</v>
      </c>
      <c r="F97" s="5">
        <v>6</v>
      </c>
      <c r="G97" s="5">
        <v>8</v>
      </c>
      <c r="H97" s="5">
        <v>8</v>
      </c>
      <c r="I97" s="5">
        <v>6</v>
      </c>
      <c r="J97" s="5">
        <v>4</v>
      </c>
      <c r="L97" s="5">
        <v>3</v>
      </c>
      <c r="M97" s="5" t="s">
        <v>419</v>
      </c>
      <c r="N97" s="5" t="s">
        <v>420</v>
      </c>
      <c r="O97" s="5" t="s">
        <v>421</v>
      </c>
      <c r="Q97" s="5" t="s">
        <v>50</v>
      </c>
      <c r="R97" s="5">
        <f t="shared" si="1"/>
        <v>35</v>
      </c>
      <c r="S97" s="5" t="str">
        <f ca="1">IFERROR(__xludf.dummyfunction("""COMPUTED_VALUE"""),"NHÓM 4")</f>
        <v>NHÓM 4</v>
      </c>
      <c r="T97" s="5" t="str">
        <f ca="1">IFERROR(__xludf.dummyfunction("""COMPUTED_VALUE"""),"NHÓM 5")</f>
        <v>NHÓM 5</v>
      </c>
      <c r="U97" s="5" t="str">
        <f ca="1">IFERROR(__xludf.dummyfunction("IF(B97="""","""",""Zone ""&amp;IFERROR(VALUE(REGEXEXTRACT(TRIM(B97),""\d+"")),REGEXEXTRACT(TRIM(B97),""\d+"")))"),"Zone 5")</f>
        <v>Zone 5</v>
      </c>
    </row>
    <row r="98" spans="1:21" ht="22.5" hidden="1" customHeight="1" x14ac:dyDescent="0.25">
      <c r="A98" s="4">
        <v>46134.707083414403</v>
      </c>
      <c r="B98" s="5">
        <v>5</v>
      </c>
      <c r="C98" s="5">
        <v>26</v>
      </c>
      <c r="D98" s="5">
        <v>27</v>
      </c>
      <c r="E98" s="5" t="s">
        <v>422</v>
      </c>
      <c r="F98" s="5">
        <v>12</v>
      </c>
      <c r="G98" s="5">
        <v>12</v>
      </c>
      <c r="H98" s="5">
        <v>0</v>
      </c>
      <c r="I98" s="5">
        <v>15</v>
      </c>
      <c r="J98" s="5">
        <v>8</v>
      </c>
      <c r="L98" s="5">
        <v>5</v>
      </c>
      <c r="M98" s="5" t="s">
        <v>423</v>
      </c>
      <c r="N98" s="5" t="s">
        <v>424</v>
      </c>
      <c r="O98" s="5" t="s">
        <v>425</v>
      </c>
      <c r="R98" s="5">
        <f t="shared" si="1"/>
        <v>52</v>
      </c>
      <c r="S98" s="5" t="str">
        <f ca="1">IFERROR(__xludf.dummyfunction("""COMPUTED_VALUE"""),"NHÓM 3")</f>
        <v>NHÓM 3</v>
      </c>
      <c r="T98" s="5" t="str">
        <f ca="1">IFERROR(__xludf.dummyfunction("""COMPUTED_VALUE"""),"NHÓM 2")</f>
        <v>NHÓM 2</v>
      </c>
      <c r="U98" s="5" t="str">
        <f ca="1">IFERROR(__xludf.dummyfunction("IF(B98="""","""",""Zone ""&amp;IFERROR(VALUE(REGEXEXTRACT(TRIM(B98),""\d+"")),REGEXEXTRACT(TRIM(B98),""\d+"")))"),"Zone 5")</f>
        <v>Zone 5</v>
      </c>
    </row>
    <row r="99" spans="1:21" ht="22.5" hidden="1" customHeight="1" x14ac:dyDescent="0.25">
      <c r="A99" s="4">
        <v>46134.707372743098</v>
      </c>
      <c r="B99" s="5" t="s">
        <v>239</v>
      </c>
      <c r="C99" s="5" t="s">
        <v>75</v>
      </c>
      <c r="D99" s="5" t="s">
        <v>80</v>
      </c>
      <c r="E99" s="5" t="s">
        <v>426</v>
      </c>
      <c r="F99" s="5">
        <v>12</v>
      </c>
      <c r="G99" s="5">
        <v>20</v>
      </c>
      <c r="H99" s="5">
        <v>16</v>
      </c>
      <c r="I99" s="5">
        <v>12</v>
      </c>
      <c r="J99" s="5">
        <v>8</v>
      </c>
      <c r="L99" s="5">
        <v>5</v>
      </c>
      <c r="M99" s="5" t="s">
        <v>427</v>
      </c>
      <c r="N99" s="5" t="s">
        <v>428</v>
      </c>
      <c r="O99" s="5" t="s">
        <v>429</v>
      </c>
      <c r="Q99" s="5" t="s">
        <v>230</v>
      </c>
      <c r="R99" s="5">
        <f t="shared" si="1"/>
        <v>73</v>
      </c>
      <c r="S99" s="5" t="str">
        <f ca="1">IFERROR(__xludf.dummyfunction("""COMPUTED_VALUE"""),"NHÓM 4")</f>
        <v>NHÓM 4</v>
      </c>
      <c r="T99" s="5" t="str">
        <f ca="1">IFERROR(__xludf.dummyfunction("""COMPUTED_VALUE"""),"NHÓM 2")</f>
        <v>NHÓM 2</v>
      </c>
      <c r="U99" s="5" t="str">
        <f ca="1">IFERROR(__xludf.dummyfunction("IF(B99="""","""",""Zone ""&amp;IFERROR(VALUE(REGEXEXTRACT(TRIM(B99),""\d+"")),REGEXEXTRACT(TRIM(B99),""\d+"")))"),"Zone 5")</f>
        <v>Zone 5</v>
      </c>
    </row>
    <row r="100" spans="1:21" ht="22.5" customHeight="1" x14ac:dyDescent="0.25">
      <c r="A100" s="4">
        <v>46134.707789004598</v>
      </c>
      <c r="B100" s="5" t="s">
        <v>73</v>
      </c>
      <c r="C100" s="5" t="s">
        <v>80</v>
      </c>
      <c r="D100" s="5" t="s">
        <v>107</v>
      </c>
      <c r="E100" s="5" t="s">
        <v>430</v>
      </c>
      <c r="F100" s="5">
        <v>12</v>
      </c>
      <c r="G100" s="5">
        <v>16</v>
      </c>
      <c r="H100" s="5">
        <v>16</v>
      </c>
      <c r="I100" s="5">
        <v>12</v>
      </c>
      <c r="J100" s="5">
        <v>8</v>
      </c>
      <c r="L100" s="5">
        <v>5</v>
      </c>
      <c r="M100" s="5" t="s">
        <v>431</v>
      </c>
      <c r="N100" s="5" t="s">
        <v>432</v>
      </c>
      <c r="O100" s="5" t="s">
        <v>433</v>
      </c>
      <c r="Q100" s="5" t="s">
        <v>50</v>
      </c>
      <c r="R100" s="5">
        <f t="shared" si="1"/>
        <v>69</v>
      </c>
      <c r="S100" s="5" t="str">
        <f ca="1">IFERROR(__xludf.dummyfunction("""COMPUTED_VALUE"""),"NHÓM 3")</f>
        <v>NHÓM 3</v>
      </c>
      <c r="T100" s="5" t="str">
        <f ca="1">IFERROR(__xludf.dummyfunction("""COMPUTED_VALUE"""),"NHÓM 4")</f>
        <v>NHÓM 4</v>
      </c>
      <c r="U100" s="5" t="str">
        <f ca="1">IFERROR(__xludf.dummyfunction("IF(B100="""","""",""Zone ""&amp;IFERROR(VALUE(REGEXEXTRACT(TRIM(B100),""\d+"")),REGEXEXTRACT(TRIM(B100),""\d+"")))"),"Zone 3")</f>
        <v>Zone 3</v>
      </c>
    </row>
    <row r="101" spans="1:21" ht="22.5" hidden="1" customHeight="1" x14ac:dyDescent="0.25">
      <c r="A101" s="4">
        <v>46134.708439294001</v>
      </c>
      <c r="B101" s="5" t="s">
        <v>239</v>
      </c>
      <c r="C101" s="5" t="s">
        <v>215</v>
      </c>
      <c r="D101" s="5" t="s">
        <v>74</v>
      </c>
      <c r="E101" s="5" t="s">
        <v>81</v>
      </c>
      <c r="F101" s="5">
        <v>6</v>
      </c>
      <c r="G101" s="5">
        <v>8</v>
      </c>
      <c r="H101" s="5">
        <v>8</v>
      </c>
      <c r="I101" s="5">
        <v>6</v>
      </c>
      <c r="J101" s="5">
        <v>4</v>
      </c>
      <c r="L101" s="5">
        <v>2</v>
      </c>
      <c r="M101" s="5" t="s">
        <v>434</v>
      </c>
      <c r="N101" s="5" t="s">
        <v>435</v>
      </c>
      <c r="O101" s="5" t="s">
        <v>436</v>
      </c>
      <c r="Q101" s="5" t="s">
        <v>72</v>
      </c>
      <c r="R101" s="5">
        <f t="shared" si="1"/>
        <v>34</v>
      </c>
      <c r="S101" s="5" t="str">
        <f ca="1">IFERROR(__xludf.dummyfunction("""COMPUTED_VALUE"""),"NHÓM 1")</f>
        <v>NHÓM 1</v>
      </c>
      <c r="T101" s="5" t="str">
        <f ca="1">IFERROR(__xludf.dummyfunction("""COMPUTED_VALUE"""),"NHÓM 5")</f>
        <v>NHÓM 5</v>
      </c>
      <c r="U101" s="5" t="str">
        <f ca="1">IFERROR(__xludf.dummyfunction("IF(B101="""","""",""Zone ""&amp;IFERROR(VALUE(REGEXEXTRACT(TRIM(B101),""\d+"")),REGEXEXTRACT(TRIM(B101),""\d+"")))"),"Zone 5")</f>
        <v>Zone 5</v>
      </c>
    </row>
    <row r="102" spans="1:21" ht="22.5" hidden="1" customHeight="1" x14ac:dyDescent="0.25">
      <c r="A102" s="4">
        <v>46134.708786064803</v>
      </c>
      <c r="B102" s="5" t="s">
        <v>196</v>
      </c>
      <c r="C102" s="5" t="s">
        <v>74</v>
      </c>
      <c r="D102" s="5" t="s">
        <v>215</v>
      </c>
      <c r="E102" s="5" t="s">
        <v>437</v>
      </c>
      <c r="F102" s="5">
        <v>9</v>
      </c>
      <c r="G102" s="5">
        <v>12</v>
      </c>
      <c r="H102" s="5">
        <v>16</v>
      </c>
      <c r="I102" s="5">
        <v>12</v>
      </c>
      <c r="J102" s="5">
        <v>6</v>
      </c>
      <c r="L102" s="5">
        <v>5</v>
      </c>
      <c r="M102" s="5" t="s">
        <v>438</v>
      </c>
      <c r="N102" s="5" t="s">
        <v>439</v>
      </c>
      <c r="O102" s="5" t="s">
        <v>440</v>
      </c>
      <c r="Q102" s="5" t="s">
        <v>50</v>
      </c>
      <c r="R102" s="5">
        <f t="shared" si="1"/>
        <v>60</v>
      </c>
      <c r="S102" s="5" t="str">
        <f ca="1">IFERROR(__xludf.dummyfunction("""COMPUTED_VALUE"""),"NHÓM 5")</f>
        <v>NHÓM 5</v>
      </c>
      <c r="T102" s="5" t="str">
        <f ca="1">IFERROR(__xludf.dummyfunction("""COMPUTED_VALUE"""),"NHÓM 1")</f>
        <v>NHÓM 1</v>
      </c>
      <c r="U102" s="5" t="str">
        <f ca="1">IFERROR(__xludf.dummyfunction("IF(B102="""","""",""Zone ""&amp;IFERROR(VALUE(REGEXEXTRACT(TRIM(B102),""\d+"")),REGEXEXTRACT(TRIM(B102),""\d+"")))"),"Zone 1")</f>
        <v>Zone 1</v>
      </c>
    </row>
    <row r="103" spans="1:21" ht="22.5" hidden="1" customHeight="1" x14ac:dyDescent="0.25">
      <c r="A103" s="4">
        <v>46134.708809710603</v>
      </c>
      <c r="B103" s="5" t="s">
        <v>106</v>
      </c>
      <c r="C103" s="5" t="s">
        <v>113</v>
      </c>
      <c r="D103" s="5" t="s">
        <v>141</v>
      </c>
      <c r="E103" s="5" t="s">
        <v>441</v>
      </c>
      <c r="F103" s="5">
        <v>12</v>
      </c>
      <c r="G103" s="5">
        <v>12</v>
      </c>
      <c r="H103" s="5">
        <v>12</v>
      </c>
      <c r="I103" s="5">
        <v>12</v>
      </c>
      <c r="J103" s="5">
        <v>8</v>
      </c>
      <c r="L103" s="5">
        <v>4</v>
      </c>
      <c r="M103" s="5" t="s">
        <v>442</v>
      </c>
      <c r="N103" s="5" t="s">
        <v>443</v>
      </c>
      <c r="O103" s="5" t="s">
        <v>38</v>
      </c>
      <c r="R103" s="5">
        <f t="shared" si="1"/>
        <v>60</v>
      </c>
      <c r="S103" s="5" t="str">
        <f ca="1">IFERROR(__xludf.dummyfunction("""COMPUTED_VALUE"""),"NHÓM 4")</f>
        <v>NHÓM 4</v>
      </c>
      <c r="T103" s="5" t="str">
        <f ca="1">IFERROR(__xludf.dummyfunction("""COMPUTED_VALUE"""),"NHÓM 3")</f>
        <v>NHÓM 3</v>
      </c>
      <c r="U103" s="5" t="str">
        <f ca="1">IFERROR(__xludf.dummyfunction("IF(B103="""","""",""Zone ""&amp;IFERROR(VALUE(REGEXEXTRACT(TRIM(B103),""\d+"")),REGEXEXTRACT(TRIM(B103),""\d+"")))"),"Zone 2")</f>
        <v>Zone 2</v>
      </c>
    </row>
    <row r="104" spans="1:21" ht="22.5" hidden="1" customHeight="1" x14ac:dyDescent="0.25">
      <c r="A104" s="4">
        <v>46134.708980069401</v>
      </c>
      <c r="B104" s="5" t="s">
        <v>73</v>
      </c>
      <c r="C104" s="5" t="s">
        <v>386</v>
      </c>
      <c r="D104" s="5" t="s">
        <v>107</v>
      </c>
      <c r="E104" s="5" t="s">
        <v>444</v>
      </c>
      <c r="F104" s="5">
        <v>12</v>
      </c>
      <c r="G104" s="5">
        <v>16</v>
      </c>
      <c r="H104" s="5">
        <v>20</v>
      </c>
      <c r="I104" s="5">
        <v>12</v>
      </c>
      <c r="J104" s="5">
        <v>8</v>
      </c>
      <c r="L104" s="5">
        <v>4</v>
      </c>
      <c r="M104" s="5" t="s">
        <v>445</v>
      </c>
      <c r="N104" s="5" t="s">
        <v>446</v>
      </c>
      <c r="O104" s="5" t="s">
        <v>447</v>
      </c>
      <c r="Q104" s="5" t="s">
        <v>360</v>
      </c>
      <c r="R104" s="5">
        <f t="shared" si="1"/>
        <v>72</v>
      </c>
      <c r="S104" s="5" t="str">
        <f ca="1">IFERROR(__xludf.dummyfunction("""COMPUTED_VALUE"""),"NHÓM 3")</f>
        <v>NHÓM 3</v>
      </c>
      <c r="T104" s="5" t="str">
        <f ca="1">IFERROR(__xludf.dummyfunction("""COMPUTED_VALUE"""),"NHÓM 1")</f>
        <v>NHÓM 1</v>
      </c>
      <c r="U104" s="5" t="str">
        <f ca="1">IFERROR(__xludf.dummyfunction("IF(B104="""","""",""Zone ""&amp;IFERROR(VALUE(REGEXEXTRACT(TRIM(B104),""\d+"")),REGEXEXTRACT(TRIM(B104),""\d+"")))"),"Zone 3")</f>
        <v>Zone 3</v>
      </c>
    </row>
    <row r="105" spans="1:21" ht="22.5" hidden="1" customHeight="1" x14ac:dyDescent="0.25">
      <c r="A105" s="4">
        <v>46134.709071238402</v>
      </c>
      <c r="B105" s="5" t="s">
        <v>196</v>
      </c>
      <c r="C105" s="5" t="s">
        <v>80</v>
      </c>
      <c r="D105" s="5" t="s">
        <v>74</v>
      </c>
      <c r="E105" s="5" t="s">
        <v>448</v>
      </c>
      <c r="F105" s="5">
        <v>6</v>
      </c>
      <c r="G105" s="5">
        <v>16</v>
      </c>
      <c r="H105" s="5">
        <v>12</v>
      </c>
      <c r="I105" s="5">
        <v>12</v>
      </c>
      <c r="J105" s="5">
        <v>8</v>
      </c>
      <c r="L105" s="5">
        <v>4</v>
      </c>
      <c r="M105" s="5" t="s">
        <v>449</v>
      </c>
      <c r="N105" s="5" t="s">
        <v>450</v>
      </c>
      <c r="O105" s="5" t="s">
        <v>451</v>
      </c>
      <c r="R105" s="5">
        <f t="shared" si="1"/>
        <v>58</v>
      </c>
      <c r="S105" s="5" t="str">
        <f ca="1">IFERROR(__xludf.dummyfunction("""COMPUTED_VALUE"""),"NHÓM 1")</f>
        <v>NHÓM 1</v>
      </c>
      <c r="T105" s="5" t="str">
        <f ca="1">IFERROR(__xludf.dummyfunction("""COMPUTED_VALUE"""),"NHÓM 4")</f>
        <v>NHÓM 4</v>
      </c>
      <c r="U105" s="5" t="str">
        <f ca="1">IFERROR(__xludf.dummyfunction("IF(B105="""","""",""Zone ""&amp;IFERROR(VALUE(REGEXEXTRACT(TRIM(B105),""\d+"")),REGEXEXTRACT(TRIM(B105),""\d+"")))"),"Zone 1")</f>
        <v>Zone 1</v>
      </c>
    </row>
    <row r="106" spans="1:21" ht="22.5" hidden="1" customHeight="1" x14ac:dyDescent="0.25">
      <c r="A106" s="4">
        <v>46134.710168402802</v>
      </c>
      <c r="B106" s="5" t="s">
        <v>73</v>
      </c>
      <c r="C106" s="5" t="s">
        <v>75</v>
      </c>
      <c r="D106" s="5" t="s">
        <v>107</v>
      </c>
      <c r="E106" s="5" t="s">
        <v>452</v>
      </c>
      <c r="F106" s="5">
        <v>12</v>
      </c>
      <c r="G106" s="5">
        <v>16</v>
      </c>
      <c r="H106" s="5">
        <v>20</v>
      </c>
      <c r="I106" s="5">
        <v>12</v>
      </c>
      <c r="J106" s="5">
        <v>8</v>
      </c>
      <c r="L106" s="5">
        <v>4</v>
      </c>
      <c r="M106" s="5" t="s">
        <v>453</v>
      </c>
      <c r="N106" s="5" t="s">
        <v>454</v>
      </c>
      <c r="O106" s="5" t="s">
        <v>455</v>
      </c>
      <c r="Q106" s="5" t="s">
        <v>28</v>
      </c>
      <c r="R106" s="5">
        <f t="shared" si="1"/>
        <v>72</v>
      </c>
      <c r="S106" s="5" t="str">
        <f ca="1">IFERROR(__xludf.dummyfunction("""COMPUTED_VALUE"""),"NHÓM 3")</f>
        <v>NHÓM 3</v>
      </c>
      <c r="T106" s="5" t="str">
        <f ca="1">IFERROR(__xludf.dummyfunction("""COMPUTED_VALUE"""),"NHÓM 2")</f>
        <v>NHÓM 2</v>
      </c>
      <c r="U106" s="5" t="str">
        <f ca="1">IFERROR(__xludf.dummyfunction("IF(B106="""","""",""Zone ""&amp;IFERROR(VALUE(REGEXEXTRACT(TRIM(B106),""\d+"")),REGEXEXTRACT(TRIM(B106),""\d+"")))"),"Zone 3")</f>
        <v>Zone 3</v>
      </c>
    </row>
    <row r="107" spans="1:21" ht="22.5" hidden="1" customHeight="1" x14ac:dyDescent="0.25">
      <c r="A107" s="4">
        <v>46134.710388518499</v>
      </c>
      <c r="B107" s="5" t="s">
        <v>196</v>
      </c>
      <c r="C107" s="5" t="s">
        <v>107</v>
      </c>
      <c r="D107" s="5" t="s">
        <v>215</v>
      </c>
      <c r="E107" s="5" t="s">
        <v>456</v>
      </c>
      <c r="F107" s="5">
        <v>15</v>
      </c>
      <c r="G107" s="5">
        <v>16</v>
      </c>
      <c r="H107" s="5">
        <v>16</v>
      </c>
      <c r="I107" s="5">
        <v>15</v>
      </c>
      <c r="J107" s="5">
        <v>6</v>
      </c>
      <c r="L107" s="5">
        <v>4</v>
      </c>
      <c r="M107" s="5" t="s">
        <v>457</v>
      </c>
      <c r="N107" s="5" t="s">
        <v>458</v>
      </c>
      <c r="O107" s="5" t="s">
        <v>459</v>
      </c>
      <c r="Q107" s="5" t="s">
        <v>50</v>
      </c>
      <c r="R107" s="5">
        <f t="shared" si="1"/>
        <v>72</v>
      </c>
      <c r="S107" s="5" t="str">
        <f ca="1">IFERROR(__xludf.dummyfunction("""COMPUTED_VALUE"""),"NHÓM 5")</f>
        <v>NHÓM 5</v>
      </c>
      <c r="T107" s="5" t="str">
        <f ca="1">IFERROR(__xludf.dummyfunction("""COMPUTED_VALUE"""),"NHÓM 3")</f>
        <v>NHÓM 3</v>
      </c>
      <c r="U107" s="5" t="str">
        <f ca="1">IFERROR(__xludf.dummyfunction("IF(B107="""","""",""Zone ""&amp;IFERROR(VALUE(REGEXEXTRACT(TRIM(B107),""\d+"")),REGEXEXTRACT(TRIM(B107),""\d+"")))"),"Zone 1")</f>
        <v>Zone 1</v>
      </c>
    </row>
    <row r="108" spans="1:21" ht="22.5" hidden="1" customHeight="1" x14ac:dyDescent="0.25">
      <c r="A108" s="4">
        <v>46134.710526597199</v>
      </c>
      <c r="B108" s="5" t="s">
        <v>106</v>
      </c>
      <c r="C108" s="5" t="s">
        <v>75</v>
      </c>
      <c r="D108" s="5" t="s">
        <v>74</v>
      </c>
      <c r="E108" s="5" t="s">
        <v>460</v>
      </c>
      <c r="F108" s="5">
        <v>9</v>
      </c>
      <c r="G108" s="5">
        <v>16</v>
      </c>
      <c r="H108" s="5">
        <v>12</v>
      </c>
      <c r="I108" s="5">
        <v>9</v>
      </c>
      <c r="J108" s="5">
        <v>8</v>
      </c>
      <c r="L108" s="5">
        <v>2</v>
      </c>
      <c r="M108" s="5" t="s">
        <v>461</v>
      </c>
      <c r="N108" s="5" t="s">
        <v>462</v>
      </c>
      <c r="O108" s="5" t="s">
        <v>111</v>
      </c>
      <c r="Q108" s="5" t="s">
        <v>50</v>
      </c>
      <c r="R108" s="5">
        <f t="shared" si="1"/>
        <v>56</v>
      </c>
      <c r="S108" s="5" t="str">
        <f ca="1">IFERROR(__xludf.dummyfunction("""COMPUTED_VALUE"""),"NHÓM 1")</f>
        <v>NHÓM 1</v>
      </c>
      <c r="T108" s="5" t="str">
        <f ca="1">IFERROR(__xludf.dummyfunction("""COMPUTED_VALUE"""),"NHÓM 2")</f>
        <v>NHÓM 2</v>
      </c>
      <c r="U108" s="5" t="str">
        <f ca="1">IFERROR(__xludf.dummyfunction("IF(B108="""","""",""Zone ""&amp;IFERROR(VALUE(REGEXEXTRACT(TRIM(B108),""\d+"")),REGEXEXTRACT(TRIM(B108),""\d+"")))"),"Zone 2")</f>
        <v>Zone 2</v>
      </c>
    </row>
    <row r="109" spans="1:21" ht="22.5" hidden="1" customHeight="1" x14ac:dyDescent="0.25">
      <c r="A109" s="4">
        <v>46134.711394675898</v>
      </c>
      <c r="B109" s="5" t="s">
        <v>106</v>
      </c>
      <c r="C109" s="5" t="s">
        <v>112</v>
      </c>
      <c r="D109" s="5" t="s">
        <v>386</v>
      </c>
      <c r="E109" s="5" t="s">
        <v>463</v>
      </c>
      <c r="F109" s="5">
        <v>12</v>
      </c>
      <c r="G109" s="5">
        <v>20</v>
      </c>
      <c r="H109" s="5">
        <v>16</v>
      </c>
      <c r="I109" s="5">
        <v>15</v>
      </c>
      <c r="J109" s="5">
        <v>8</v>
      </c>
      <c r="L109" s="5">
        <v>5</v>
      </c>
      <c r="M109" s="5" t="s">
        <v>464</v>
      </c>
      <c r="N109" s="5" t="s">
        <v>465</v>
      </c>
      <c r="O109" s="5" t="s">
        <v>137</v>
      </c>
      <c r="Q109" s="5" t="s">
        <v>466</v>
      </c>
      <c r="R109" s="5">
        <f t="shared" si="1"/>
        <v>76</v>
      </c>
      <c r="S109" s="5" t="str">
        <f ca="1">IFERROR(__xludf.dummyfunction("""COMPUTED_VALUE"""),"NHÓM 1")</f>
        <v>NHÓM 1</v>
      </c>
      <c r="T109" s="5" t="str">
        <f ca="1">IFERROR(__xludf.dummyfunction("""COMPUTED_VALUE"""),"NHÓM 6")</f>
        <v>NHÓM 6</v>
      </c>
      <c r="U109" s="5" t="str">
        <f ca="1">IFERROR(__xludf.dummyfunction("IF(B109="""","""",""Zone ""&amp;IFERROR(VALUE(REGEXEXTRACT(TRIM(B109),""\d+"")),REGEXEXTRACT(TRIM(B109),""\d+"")))"),"Zone 2")</f>
        <v>Zone 2</v>
      </c>
    </row>
    <row r="110" spans="1:21" ht="22.5" hidden="1" customHeight="1" x14ac:dyDescent="0.25">
      <c r="A110" s="4">
        <v>46134.711508067099</v>
      </c>
      <c r="B110" s="5" t="s">
        <v>196</v>
      </c>
      <c r="C110" s="5" t="s">
        <v>75</v>
      </c>
      <c r="D110" s="5" t="s">
        <v>215</v>
      </c>
      <c r="E110" s="5" t="s">
        <v>467</v>
      </c>
      <c r="F110" s="5">
        <v>9</v>
      </c>
      <c r="G110" s="5">
        <v>12</v>
      </c>
      <c r="H110" s="5">
        <v>12</v>
      </c>
      <c r="I110" s="5">
        <v>9</v>
      </c>
      <c r="J110" s="5">
        <v>6</v>
      </c>
      <c r="L110" s="5">
        <v>3</v>
      </c>
      <c r="M110" s="5" t="s">
        <v>468</v>
      </c>
      <c r="N110" s="5" t="s">
        <v>469</v>
      </c>
      <c r="O110" s="5" t="s">
        <v>470</v>
      </c>
      <c r="R110" s="5">
        <f t="shared" si="1"/>
        <v>51</v>
      </c>
      <c r="S110" s="5" t="str">
        <f ca="1">IFERROR(__xludf.dummyfunction("""COMPUTED_VALUE"""),"NHÓM 5")</f>
        <v>NHÓM 5</v>
      </c>
      <c r="T110" s="5" t="str">
        <f ca="1">IFERROR(__xludf.dummyfunction("""COMPUTED_VALUE"""),"NHÓM 2")</f>
        <v>NHÓM 2</v>
      </c>
      <c r="U110" s="5" t="str">
        <f ca="1">IFERROR(__xludf.dummyfunction("IF(B110="""","""",""Zone ""&amp;IFERROR(VALUE(REGEXEXTRACT(TRIM(B110),""\d+"")),REGEXEXTRACT(TRIM(B110),""\d+"")))"),"Zone 1")</f>
        <v>Zone 1</v>
      </c>
    </row>
    <row r="111" spans="1:21" ht="22.5" hidden="1" customHeight="1" x14ac:dyDescent="0.25">
      <c r="A111" s="4">
        <v>46134.711683506997</v>
      </c>
      <c r="B111" s="5" t="s">
        <v>106</v>
      </c>
      <c r="C111" s="5" t="s">
        <v>141</v>
      </c>
      <c r="D111" s="5" t="s">
        <v>133</v>
      </c>
      <c r="E111" s="5" t="s">
        <v>471</v>
      </c>
      <c r="F111" s="5">
        <v>9</v>
      </c>
      <c r="G111" s="5">
        <v>12</v>
      </c>
      <c r="H111" s="5">
        <v>16</v>
      </c>
      <c r="I111" s="5">
        <v>9</v>
      </c>
      <c r="J111" s="5">
        <v>6</v>
      </c>
      <c r="L111" s="5">
        <v>3</v>
      </c>
      <c r="M111" s="5" t="s">
        <v>472</v>
      </c>
      <c r="N111" s="5" t="s">
        <v>473</v>
      </c>
      <c r="O111" s="5" t="s">
        <v>474</v>
      </c>
      <c r="R111" s="5">
        <f t="shared" si="1"/>
        <v>55</v>
      </c>
      <c r="S111" s="5" t="str">
        <f ca="1">IFERROR(__xludf.dummyfunction("""COMPUTED_VALUE"""),"NHÓM 5")</f>
        <v>NHÓM 5</v>
      </c>
      <c r="T111" s="5" t="str">
        <f ca="1">IFERROR(__xludf.dummyfunction("""COMPUTED_VALUE"""),"NHÓM 4")</f>
        <v>NHÓM 4</v>
      </c>
      <c r="U111" s="5" t="str">
        <f ca="1">IFERROR(__xludf.dummyfunction("IF(B111="""","""",""Zone ""&amp;IFERROR(VALUE(REGEXEXTRACT(TRIM(B111),""\d+"")),REGEXEXTRACT(TRIM(B111),""\d+"")))"),"Zone 2")</f>
        <v>Zone 2</v>
      </c>
    </row>
    <row r="112" spans="1:21" ht="22.5" hidden="1" customHeight="1" x14ac:dyDescent="0.25">
      <c r="A112" s="4">
        <v>46134.711811736102</v>
      </c>
      <c r="B112" s="5" t="s">
        <v>106</v>
      </c>
      <c r="C112" s="5" t="s">
        <v>113</v>
      </c>
      <c r="D112" s="5" t="s">
        <v>112</v>
      </c>
      <c r="E112" s="5" t="s">
        <v>475</v>
      </c>
      <c r="F112" s="5">
        <v>9</v>
      </c>
      <c r="G112" s="5">
        <v>12</v>
      </c>
      <c r="H112" s="5">
        <v>16</v>
      </c>
      <c r="I112" s="5">
        <v>12</v>
      </c>
      <c r="J112" s="5">
        <v>8</v>
      </c>
      <c r="L112" s="5">
        <v>3</v>
      </c>
      <c r="M112" s="5" t="s">
        <v>476</v>
      </c>
      <c r="N112" s="5" t="s">
        <v>477</v>
      </c>
      <c r="O112" s="5" t="s">
        <v>38</v>
      </c>
      <c r="Q112" s="5" t="s">
        <v>28</v>
      </c>
      <c r="R112" s="5">
        <f t="shared" si="1"/>
        <v>60</v>
      </c>
      <c r="S112" s="5" t="str">
        <f ca="1">IFERROR(__xludf.dummyfunction("""COMPUTED_VALUE"""),"NHÓM 6")</f>
        <v>NHÓM 6</v>
      </c>
      <c r="T112" s="5" t="str">
        <f ca="1">IFERROR(__xludf.dummyfunction("""COMPUTED_VALUE"""),"NHÓM 3")</f>
        <v>NHÓM 3</v>
      </c>
      <c r="U112" s="5" t="str">
        <f ca="1">IFERROR(__xludf.dummyfunction("IF(B112="""","""",""Zone ""&amp;IFERROR(VALUE(REGEXEXTRACT(TRIM(B112),""\d+"")),REGEXEXTRACT(TRIM(B112),""\d+"")))"),"Zone 2")</f>
        <v>Zone 2</v>
      </c>
    </row>
    <row r="113" spans="1:21" ht="22.5" hidden="1" customHeight="1" x14ac:dyDescent="0.25">
      <c r="A113" s="4">
        <v>46134.711824849503</v>
      </c>
      <c r="B113" s="5" t="s">
        <v>106</v>
      </c>
      <c r="C113" s="5" t="s">
        <v>133</v>
      </c>
      <c r="D113" s="5" t="s">
        <v>112</v>
      </c>
      <c r="E113" s="5" t="s">
        <v>478</v>
      </c>
      <c r="F113" s="5">
        <v>15</v>
      </c>
      <c r="G113" s="5">
        <v>20</v>
      </c>
      <c r="H113" s="5">
        <v>20</v>
      </c>
      <c r="I113" s="5">
        <v>15</v>
      </c>
      <c r="J113" s="5">
        <v>10</v>
      </c>
      <c r="L113" s="5">
        <v>5</v>
      </c>
      <c r="M113" s="5" t="s">
        <v>479</v>
      </c>
      <c r="N113" s="5" t="s">
        <v>480</v>
      </c>
      <c r="O113" s="5" t="s">
        <v>481</v>
      </c>
      <c r="R113" s="5">
        <f t="shared" si="1"/>
        <v>85</v>
      </c>
      <c r="S113" s="5" t="str">
        <f ca="1">IFERROR(__xludf.dummyfunction("""COMPUTED_VALUE"""),"NHÓM 6")</f>
        <v>NHÓM 6</v>
      </c>
      <c r="T113" s="5" t="str">
        <f ca="1">IFERROR(__xludf.dummyfunction("""COMPUTED_VALUE"""),"NHÓM 5")</f>
        <v>NHÓM 5</v>
      </c>
      <c r="U113" s="5" t="str">
        <f ca="1">IFERROR(__xludf.dummyfunction("IF(B113="""","""",""Zone ""&amp;IFERROR(VALUE(REGEXEXTRACT(TRIM(B113),""\d+"")),REGEXEXTRACT(TRIM(B113),""\d+"")))"),"Zone 2")</f>
        <v>Zone 2</v>
      </c>
    </row>
    <row r="114" spans="1:21" ht="22.5" hidden="1" customHeight="1" x14ac:dyDescent="0.25">
      <c r="A114" s="4">
        <v>46134.711889166698</v>
      </c>
      <c r="B114" s="5" t="s">
        <v>196</v>
      </c>
      <c r="C114" s="5" t="s">
        <v>80</v>
      </c>
      <c r="D114" s="5" t="s">
        <v>107</v>
      </c>
      <c r="E114" s="5" t="s">
        <v>482</v>
      </c>
      <c r="F114" s="5">
        <v>12</v>
      </c>
      <c r="G114" s="5">
        <v>16</v>
      </c>
      <c r="H114" s="5">
        <v>16</v>
      </c>
      <c r="I114" s="5">
        <v>15</v>
      </c>
      <c r="J114" s="5">
        <v>8</v>
      </c>
      <c r="L114" s="5">
        <v>4</v>
      </c>
      <c r="M114" s="5" t="s">
        <v>483</v>
      </c>
      <c r="N114" s="5" t="s">
        <v>484</v>
      </c>
      <c r="O114" s="5" t="s">
        <v>485</v>
      </c>
      <c r="Q114" s="5" t="s">
        <v>28</v>
      </c>
      <c r="R114" s="5">
        <f t="shared" si="1"/>
        <v>71</v>
      </c>
      <c r="S114" s="5" t="str">
        <f ca="1">IFERROR(__xludf.dummyfunction("""COMPUTED_VALUE"""),"NHÓM 3")</f>
        <v>NHÓM 3</v>
      </c>
      <c r="T114" s="5" t="str">
        <f ca="1">IFERROR(__xludf.dummyfunction("""COMPUTED_VALUE"""),"NHÓM 4")</f>
        <v>NHÓM 4</v>
      </c>
      <c r="U114" s="5" t="str">
        <f ca="1">IFERROR(__xludf.dummyfunction("IF(B114="""","""",""Zone ""&amp;IFERROR(VALUE(REGEXEXTRACT(TRIM(B114),""\d+"")),REGEXEXTRACT(TRIM(B114),""\d+"")))"),"Zone 1")</f>
        <v>Zone 1</v>
      </c>
    </row>
    <row r="115" spans="1:21" ht="22.5" hidden="1" customHeight="1" x14ac:dyDescent="0.25">
      <c r="A115" s="4">
        <v>46134.711916967601</v>
      </c>
      <c r="B115" s="5" t="s">
        <v>196</v>
      </c>
      <c r="C115" s="5" t="s">
        <v>486</v>
      </c>
      <c r="D115" s="5" t="s">
        <v>215</v>
      </c>
      <c r="E115" s="5" t="s">
        <v>487</v>
      </c>
      <c r="F115" s="5">
        <v>9</v>
      </c>
      <c r="G115" s="5">
        <v>16</v>
      </c>
      <c r="H115" s="5">
        <v>16</v>
      </c>
      <c r="I115" s="5">
        <v>12</v>
      </c>
      <c r="J115" s="5">
        <v>8</v>
      </c>
      <c r="L115" s="5">
        <v>3</v>
      </c>
      <c r="M115" s="5" t="s">
        <v>488</v>
      </c>
      <c r="N115" s="5" t="s">
        <v>489</v>
      </c>
      <c r="O115" s="5" t="s">
        <v>38</v>
      </c>
      <c r="Q115" s="5" t="s">
        <v>72</v>
      </c>
      <c r="R115" s="5">
        <f t="shared" si="1"/>
        <v>64</v>
      </c>
      <c r="S115" s="5" t="str">
        <f ca="1">IFERROR(__xludf.dummyfunction("""COMPUTED_VALUE"""),"NHÓM 5")</f>
        <v>NHÓM 5</v>
      </c>
      <c r="T115" s="5" t="str">
        <f ca="1">IFERROR(__xludf.dummyfunction("""COMPUTED_VALUE"""),"NHÓM 6")</f>
        <v>NHÓM 6</v>
      </c>
      <c r="U115" s="5" t="str">
        <f ca="1">IFERROR(__xludf.dummyfunction("IF(B115="""","""",""Zone ""&amp;IFERROR(VALUE(REGEXEXTRACT(TRIM(B115),""\d+"")),REGEXEXTRACT(TRIM(B115),""\d+"")))"),"Zone 1")</f>
        <v>Zone 1</v>
      </c>
    </row>
    <row r="116" spans="1:21" ht="22.5" hidden="1" customHeight="1" x14ac:dyDescent="0.25">
      <c r="A116" s="4">
        <v>46134.712084131897</v>
      </c>
      <c r="B116" s="5" t="s">
        <v>106</v>
      </c>
      <c r="C116" s="5" t="s">
        <v>141</v>
      </c>
      <c r="D116" s="5" t="s">
        <v>112</v>
      </c>
      <c r="E116" s="5" t="s">
        <v>478</v>
      </c>
      <c r="F116" s="5">
        <v>9</v>
      </c>
      <c r="G116" s="5">
        <v>16</v>
      </c>
      <c r="H116" s="5">
        <v>16</v>
      </c>
      <c r="I116" s="5">
        <v>12</v>
      </c>
      <c r="J116" s="5">
        <v>8</v>
      </c>
      <c r="L116" s="5">
        <v>4</v>
      </c>
      <c r="M116" s="5" t="s">
        <v>490</v>
      </c>
      <c r="N116" s="5" t="s">
        <v>491</v>
      </c>
      <c r="O116" s="5" t="s">
        <v>137</v>
      </c>
      <c r="Q116" s="5" t="s">
        <v>365</v>
      </c>
      <c r="R116" s="5">
        <f t="shared" si="1"/>
        <v>65</v>
      </c>
      <c r="S116" s="5" t="str">
        <f ca="1">IFERROR(__xludf.dummyfunction("""COMPUTED_VALUE"""),"NHÓM 6")</f>
        <v>NHÓM 6</v>
      </c>
      <c r="T116" s="5" t="str">
        <f ca="1">IFERROR(__xludf.dummyfunction("""COMPUTED_VALUE"""),"NHÓM 4")</f>
        <v>NHÓM 4</v>
      </c>
      <c r="U116" s="5" t="str">
        <f ca="1">IFERROR(__xludf.dummyfunction("IF(B116="""","""",""Zone ""&amp;IFERROR(VALUE(REGEXEXTRACT(TRIM(B116),""\d+"")),REGEXEXTRACT(TRIM(B116),""\d+"")))"),"Zone 2")</f>
        <v>Zone 2</v>
      </c>
    </row>
    <row r="117" spans="1:21" ht="22.5" hidden="1" customHeight="1" x14ac:dyDescent="0.25">
      <c r="A117" s="4">
        <v>46134.713454282399</v>
      </c>
      <c r="B117" s="5" t="s">
        <v>106</v>
      </c>
      <c r="C117" s="5" t="s">
        <v>113</v>
      </c>
      <c r="D117" s="5" t="s">
        <v>386</v>
      </c>
      <c r="E117" s="5" t="s">
        <v>492</v>
      </c>
      <c r="F117" s="5">
        <v>12</v>
      </c>
      <c r="G117" s="5">
        <v>16</v>
      </c>
      <c r="H117" s="5">
        <v>16</v>
      </c>
      <c r="I117" s="5">
        <v>9</v>
      </c>
      <c r="J117" s="5">
        <v>6</v>
      </c>
      <c r="L117" s="5">
        <v>3</v>
      </c>
      <c r="M117" s="5" t="s">
        <v>493</v>
      </c>
      <c r="N117" s="5" t="s">
        <v>494</v>
      </c>
      <c r="O117" s="5" t="s">
        <v>38</v>
      </c>
      <c r="R117" s="5">
        <f t="shared" si="1"/>
        <v>62</v>
      </c>
      <c r="S117" s="5" t="str">
        <f ca="1">IFERROR(__xludf.dummyfunction("""COMPUTED_VALUE"""),"NHÓM 1")</f>
        <v>NHÓM 1</v>
      </c>
      <c r="T117" s="5" t="str">
        <f ca="1">IFERROR(__xludf.dummyfunction("""COMPUTED_VALUE"""),"NHÓM 3")</f>
        <v>NHÓM 3</v>
      </c>
      <c r="U117" s="5" t="str">
        <f ca="1">IFERROR(__xludf.dummyfunction("IF(B117="""","""",""Zone ""&amp;IFERROR(VALUE(REGEXEXTRACT(TRIM(B117),""\d+"")),REGEXEXTRACT(TRIM(B117),""\d+"")))"),"Zone 2")</f>
        <v>Zone 2</v>
      </c>
    </row>
    <row r="118" spans="1:21" ht="22.5" hidden="1" customHeight="1" x14ac:dyDescent="0.25">
      <c r="A118" s="4">
        <v>46134.713789733803</v>
      </c>
      <c r="B118" s="5" t="s">
        <v>106</v>
      </c>
      <c r="C118" s="5" t="s">
        <v>75</v>
      </c>
      <c r="D118" s="5" t="s">
        <v>221</v>
      </c>
      <c r="E118" s="5" t="s">
        <v>495</v>
      </c>
      <c r="F118" s="5">
        <v>12</v>
      </c>
      <c r="G118" s="5">
        <v>12</v>
      </c>
      <c r="H118" s="5">
        <v>12</v>
      </c>
      <c r="I118" s="5">
        <v>9</v>
      </c>
      <c r="J118" s="5">
        <v>6</v>
      </c>
      <c r="L118" s="5">
        <v>3</v>
      </c>
      <c r="M118" s="5" t="s">
        <v>496</v>
      </c>
      <c r="N118" s="5" t="s">
        <v>497</v>
      </c>
      <c r="O118" s="5" t="s">
        <v>111</v>
      </c>
      <c r="Q118" s="5" t="s">
        <v>50</v>
      </c>
      <c r="R118" s="5">
        <f t="shared" si="1"/>
        <v>54</v>
      </c>
      <c r="S118" s="5" t="str">
        <f ca="1">IFERROR(__xludf.dummyfunction("""COMPUTED_VALUE"""),"NHÓM 6")</f>
        <v>NHÓM 6</v>
      </c>
      <c r="T118" s="5" t="str">
        <f ca="1">IFERROR(__xludf.dummyfunction("""COMPUTED_VALUE"""),"NHÓM 2")</f>
        <v>NHÓM 2</v>
      </c>
      <c r="U118" s="5" t="str">
        <f ca="1">IFERROR(__xludf.dummyfunction("IF(B118="""","""",""Zone ""&amp;IFERROR(VALUE(REGEXEXTRACT(TRIM(B118),""\d+"")),REGEXEXTRACT(TRIM(B118),""\d+"")))"),"Zone 2")</f>
        <v>Zone 2</v>
      </c>
    </row>
    <row r="119" spans="1:21" ht="22.5" hidden="1" customHeight="1" x14ac:dyDescent="0.25">
      <c r="A119" s="4">
        <v>46134.714001932902</v>
      </c>
      <c r="B119" s="5" t="s">
        <v>239</v>
      </c>
      <c r="C119" s="5" t="s">
        <v>257</v>
      </c>
      <c r="D119" s="5" t="s">
        <v>498</v>
      </c>
      <c r="E119" s="5" t="s">
        <v>499</v>
      </c>
      <c r="F119" s="5">
        <v>9</v>
      </c>
      <c r="G119" s="5">
        <v>12</v>
      </c>
      <c r="H119" s="5">
        <v>12</v>
      </c>
      <c r="I119" s="5">
        <v>9</v>
      </c>
      <c r="J119" s="5">
        <v>6</v>
      </c>
      <c r="L119" s="5">
        <v>4</v>
      </c>
      <c r="M119" s="5" t="s">
        <v>500</v>
      </c>
      <c r="N119" s="5" t="s">
        <v>501</v>
      </c>
      <c r="O119" s="5" t="s">
        <v>38</v>
      </c>
      <c r="Q119" s="5" t="s">
        <v>72</v>
      </c>
      <c r="R119" s="5">
        <f t="shared" si="1"/>
        <v>52</v>
      </c>
      <c r="S119" s="5" t="str">
        <f ca="1">IFERROR(__xludf.dummyfunction("""COMPUTED_VALUE"""),"NHÓM 5")</f>
        <v>NHÓM 5</v>
      </c>
      <c r="T119" s="5" t="str">
        <f ca="1">IFERROR(__xludf.dummyfunction("""COMPUTED_VALUE"""),"NHÓM 6")</f>
        <v>NHÓM 6</v>
      </c>
      <c r="U119" s="5" t="str">
        <f ca="1">IFERROR(__xludf.dummyfunction("IF(B119="""","""",""Zone ""&amp;IFERROR(VALUE(REGEXEXTRACT(TRIM(B119),""\d+"")),REGEXEXTRACT(TRIM(B119),""\d+"")))"),"Zone 5")</f>
        <v>Zone 5</v>
      </c>
    </row>
    <row r="120" spans="1:21" ht="22.5" hidden="1" customHeight="1" x14ac:dyDescent="0.25">
      <c r="A120" s="4">
        <v>46134.7148234259</v>
      </c>
      <c r="B120" s="5">
        <v>6</v>
      </c>
      <c r="C120" s="5" t="s">
        <v>193</v>
      </c>
      <c r="D120" s="5" t="s">
        <v>100</v>
      </c>
      <c r="E120" s="5" t="s">
        <v>502</v>
      </c>
      <c r="F120" s="5">
        <v>9</v>
      </c>
      <c r="G120" s="5">
        <v>16</v>
      </c>
      <c r="H120" s="5">
        <v>16</v>
      </c>
      <c r="I120" s="5">
        <v>15</v>
      </c>
      <c r="J120" s="5">
        <v>10</v>
      </c>
      <c r="L120" s="5">
        <v>5</v>
      </c>
      <c r="M120" s="5" t="s">
        <v>503</v>
      </c>
      <c r="N120" s="5" t="s">
        <v>504</v>
      </c>
      <c r="O120" s="5" t="s">
        <v>505</v>
      </c>
      <c r="Q120" s="5" t="s">
        <v>220</v>
      </c>
      <c r="R120" s="5">
        <f t="shared" si="1"/>
        <v>71</v>
      </c>
      <c r="S120" s="5" t="str">
        <f ca="1">IFERROR(__xludf.dummyfunction("""COMPUTED_VALUE"""),"NHÓM 1")</f>
        <v>NHÓM 1</v>
      </c>
      <c r="T120" s="5" t="str">
        <f ca="1">IFERROR(__xludf.dummyfunction("""COMPUTED_VALUE"""),"NHÓM 6")</f>
        <v>NHÓM 6</v>
      </c>
      <c r="U120" s="5" t="str">
        <f ca="1">IFERROR(__xludf.dummyfunction("IF(B120="""","""",""Zone ""&amp;IFERROR(VALUE(REGEXEXTRACT(TRIM(B120),""\d+"")),REGEXEXTRACT(TRIM(B120),""\d+"")))"),"Zone 6")</f>
        <v>Zone 6</v>
      </c>
    </row>
    <row r="121" spans="1:21" ht="22.5" hidden="1" customHeight="1" x14ac:dyDescent="0.25">
      <c r="A121" s="4">
        <v>46134.715330312501</v>
      </c>
      <c r="B121" s="5" t="s">
        <v>106</v>
      </c>
      <c r="C121" s="5" t="s">
        <v>506</v>
      </c>
      <c r="D121" s="5" t="s">
        <v>386</v>
      </c>
      <c r="E121" s="5" t="s">
        <v>507</v>
      </c>
      <c r="F121" s="5">
        <v>9</v>
      </c>
      <c r="G121" s="5">
        <v>16</v>
      </c>
      <c r="H121" s="5">
        <v>16</v>
      </c>
      <c r="I121" s="5">
        <v>9</v>
      </c>
      <c r="J121" s="5">
        <v>6</v>
      </c>
      <c r="L121" s="5">
        <v>3</v>
      </c>
      <c r="M121" s="5" t="s">
        <v>508</v>
      </c>
      <c r="N121" s="5" t="s">
        <v>509</v>
      </c>
      <c r="O121" s="5" t="s">
        <v>510</v>
      </c>
      <c r="R121" s="5">
        <f t="shared" si="1"/>
        <v>59</v>
      </c>
      <c r="S121" s="5" t="str">
        <f ca="1">IFERROR(__xludf.dummyfunction("""COMPUTED_VALUE"""),"NHÓM 1")</f>
        <v>NHÓM 1</v>
      </c>
      <c r="T121" s="5" t="str">
        <f ca="1">IFERROR(__xludf.dummyfunction("""COMPUTED_VALUE"""),"NHÓM 5")</f>
        <v>NHÓM 5</v>
      </c>
      <c r="U121" s="5" t="str">
        <f ca="1">IFERROR(__xludf.dummyfunction("IF(B121="""","""",""Zone ""&amp;IFERROR(VALUE(REGEXEXTRACT(TRIM(B121),""\d+"")),REGEXEXTRACT(TRIM(B121),""\d+"")))"),"Zone 2")</f>
        <v>Zone 2</v>
      </c>
    </row>
    <row r="122" spans="1:21" ht="22.5" hidden="1" customHeight="1" x14ac:dyDescent="0.25">
      <c r="A122" s="4">
        <v>46134.715435451399</v>
      </c>
      <c r="B122" s="5" t="s">
        <v>127</v>
      </c>
      <c r="C122" s="5" t="s">
        <v>101</v>
      </c>
      <c r="D122" s="5" t="s">
        <v>100</v>
      </c>
      <c r="E122" s="5" t="s">
        <v>402</v>
      </c>
      <c r="F122" s="5">
        <v>15</v>
      </c>
      <c r="G122" s="5">
        <v>12</v>
      </c>
      <c r="H122" s="5">
        <v>20</v>
      </c>
      <c r="I122" s="5">
        <v>9</v>
      </c>
      <c r="J122" s="5">
        <v>10</v>
      </c>
      <c r="L122" s="5">
        <v>4</v>
      </c>
      <c r="M122" s="5" t="s">
        <v>511</v>
      </c>
      <c r="N122" s="5" t="s">
        <v>512</v>
      </c>
      <c r="O122" s="5" t="s">
        <v>513</v>
      </c>
      <c r="Q122" s="5" t="s">
        <v>514</v>
      </c>
      <c r="R122" s="5">
        <f t="shared" si="1"/>
        <v>70</v>
      </c>
      <c r="S122" s="5" t="str">
        <f ca="1">IFERROR(__xludf.dummyfunction("""COMPUTED_VALUE"""),"NHÓM 1")</f>
        <v>NHÓM 1</v>
      </c>
      <c r="T122" s="5" t="str">
        <f ca="1">IFERROR(__xludf.dummyfunction("""COMPUTED_VALUE"""),"NHÓM 3")</f>
        <v>NHÓM 3</v>
      </c>
      <c r="U122" s="5" t="str">
        <f ca="1">IFERROR(__xludf.dummyfunction("IF(B122="""","""",""Zone ""&amp;IFERROR(VALUE(REGEXEXTRACT(TRIM(B122),""\d+"")),REGEXEXTRACT(TRIM(B122),""\d+"")))"),"Zone 6")</f>
        <v>Zone 6</v>
      </c>
    </row>
    <row r="123" spans="1:21" ht="22.5" hidden="1" customHeight="1" x14ac:dyDescent="0.25">
      <c r="A123" s="4">
        <v>46134.715934097199</v>
      </c>
      <c r="B123" s="5" t="s">
        <v>196</v>
      </c>
      <c r="C123" s="5" t="s">
        <v>515</v>
      </c>
      <c r="D123" s="5" t="s">
        <v>516</v>
      </c>
      <c r="E123" s="5" t="s">
        <v>517</v>
      </c>
      <c r="F123" s="5">
        <v>12</v>
      </c>
      <c r="G123" s="5">
        <v>12</v>
      </c>
      <c r="H123" s="5">
        <v>12</v>
      </c>
      <c r="I123" s="5">
        <v>9</v>
      </c>
      <c r="J123" s="5">
        <v>6</v>
      </c>
      <c r="L123" s="5">
        <v>4</v>
      </c>
      <c r="M123" s="5" t="s">
        <v>518</v>
      </c>
      <c r="N123" s="5" t="s">
        <v>519</v>
      </c>
      <c r="O123" s="5" t="s">
        <v>520</v>
      </c>
      <c r="Q123" s="5" t="s">
        <v>117</v>
      </c>
      <c r="R123" s="5">
        <f t="shared" si="1"/>
        <v>55</v>
      </c>
      <c r="S123" s="5" t="str">
        <f ca="1">IFERROR(__xludf.dummyfunction("""COMPUTED_VALUE"""),"NHÓM 6")</f>
        <v>NHÓM 6</v>
      </c>
      <c r="T123" s="5" t="str">
        <f ca="1">IFERROR(__xludf.dummyfunction("""COMPUTED_VALUE"""),"NHÓM 1")</f>
        <v>NHÓM 1</v>
      </c>
      <c r="U123" s="5" t="str">
        <f ca="1">IFERROR(__xludf.dummyfunction("IF(B123="""","""",""Zone ""&amp;IFERROR(VALUE(REGEXEXTRACT(TRIM(B123),""\d+"")),REGEXEXTRACT(TRIM(B123),""\d+"")))"),"Zone 1")</f>
        <v>Zone 1</v>
      </c>
    </row>
    <row r="124" spans="1:21" ht="22.5" hidden="1" customHeight="1" x14ac:dyDescent="0.25">
      <c r="A124" s="4">
        <v>46134.716245266201</v>
      </c>
      <c r="B124" s="5" t="s">
        <v>239</v>
      </c>
      <c r="C124" s="5" t="s">
        <v>257</v>
      </c>
      <c r="D124" s="5" t="s">
        <v>96</v>
      </c>
      <c r="E124" s="5" t="s">
        <v>521</v>
      </c>
      <c r="F124" s="5">
        <v>9</v>
      </c>
      <c r="G124" s="5">
        <v>12</v>
      </c>
      <c r="H124" s="5">
        <v>12</v>
      </c>
      <c r="I124" s="5">
        <v>9</v>
      </c>
      <c r="J124" s="5">
        <v>8</v>
      </c>
      <c r="L124" s="5">
        <v>4</v>
      </c>
      <c r="M124" s="5" t="s">
        <v>522</v>
      </c>
      <c r="N124" s="5" t="s">
        <v>523</v>
      </c>
      <c r="O124" s="5" t="s">
        <v>38</v>
      </c>
      <c r="Q124" s="5" t="s">
        <v>28</v>
      </c>
      <c r="R124" s="5">
        <f t="shared" si="1"/>
        <v>54</v>
      </c>
      <c r="S124" s="5" t="str">
        <f ca="1">IFERROR(__xludf.dummyfunction("""COMPUTED_VALUE"""),"NHÓM 1")</f>
        <v>NHÓM 1</v>
      </c>
      <c r="T124" s="5" t="str">
        <f ca="1">IFERROR(__xludf.dummyfunction("""COMPUTED_VALUE"""),"NHÓM 6")</f>
        <v>NHÓM 6</v>
      </c>
      <c r="U124" s="5" t="str">
        <f ca="1">IFERROR(__xludf.dummyfunction("IF(B124="""","""",""Zone ""&amp;IFERROR(VALUE(REGEXEXTRACT(TRIM(B124),""\d+"")),REGEXEXTRACT(TRIM(B124),""\d+"")))"),"Zone 5")</f>
        <v>Zone 5</v>
      </c>
    </row>
    <row r="125" spans="1:21" ht="22.5" hidden="1" customHeight="1" x14ac:dyDescent="0.25">
      <c r="A125" s="4">
        <v>46134.7164764931</v>
      </c>
      <c r="B125" s="5" t="s">
        <v>106</v>
      </c>
      <c r="C125" s="5" t="s">
        <v>113</v>
      </c>
      <c r="D125" s="5" t="s">
        <v>133</v>
      </c>
      <c r="E125" s="5" t="s">
        <v>524</v>
      </c>
      <c r="F125" s="5">
        <v>12</v>
      </c>
      <c r="G125" s="5">
        <v>16</v>
      </c>
      <c r="H125" s="5">
        <v>16</v>
      </c>
      <c r="I125" s="5">
        <v>12</v>
      </c>
      <c r="J125" s="5">
        <v>8</v>
      </c>
      <c r="L125" s="5">
        <v>4</v>
      </c>
      <c r="M125" s="5" t="s">
        <v>325</v>
      </c>
      <c r="N125" s="5" t="s">
        <v>525</v>
      </c>
      <c r="O125" s="5" t="s">
        <v>98</v>
      </c>
      <c r="Q125" s="5" t="s">
        <v>28</v>
      </c>
      <c r="R125" s="5">
        <f t="shared" si="1"/>
        <v>68</v>
      </c>
      <c r="S125" s="5" t="str">
        <f ca="1">IFERROR(__xludf.dummyfunction("""COMPUTED_VALUE"""),"NHÓM 5")</f>
        <v>NHÓM 5</v>
      </c>
      <c r="T125" s="5" t="str">
        <f ca="1">IFERROR(__xludf.dummyfunction("""COMPUTED_VALUE"""),"NHÓM 3")</f>
        <v>NHÓM 3</v>
      </c>
      <c r="U125" s="5" t="str">
        <f ca="1">IFERROR(__xludf.dummyfunction("IF(B125="""","""",""Zone ""&amp;IFERROR(VALUE(REGEXEXTRACT(TRIM(B125),""\d+"")),REGEXEXTRACT(TRIM(B125),""\d+"")))"),"Zone 2")</f>
        <v>Zone 2</v>
      </c>
    </row>
    <row r="126" spans="1:21" ht="22.5" hidden="1" customHeight="1" x14ac:dyDescent="0.25">
      <c r="A126" s="4">
        <v>46134.7175445139</v>
      </c>
      <c r="B126" s="5" t="s">
        <v>526</v>
      </c>
      <c r="C126" s="5" t="s">
        <v>141</v>
      </c>
      <c r="D126" s="5" t="s">
        <v>386</v>
      </c>
      <c r="E126" s="5" t="s">
        <v>463</v>
      </c>
      <c r="F126" s="5">
        <v>12</v>
      </c>
      <c r="G126" s="5">
        <v>16</v>
      </c>
      <c r="H126" s="5">
        <v>16</v>
      </c>
      <c r="I126" s="5">
        <v>12</v>
      </c>
      <c r="J126" s="5">
        <v>8</v>
      </c>
      <c r="L126" s="5">
        <v>4</v>
      </c>
      <c r="M126" s="5" t="s">
        <v>527</v>
      </c>
      <c r="N126" s="5" t="s">
        <v>528</v>
      </c>
      <c r="O126" s="5" t="s">
        <v>529</v>
      </c>
      <c r="R126" s="5">
        <f t="shared" si="1"/>
        <v>68</v>
      </c>
      <c r="S126" s="5" t="str">
        <f ca="1">IFERROR(__xludf.dummyfunction("""COMPUTED_VALUE"""),"NHÓM 1")</f>
        <v>NHÓM 1</v>
      </c>
      <c r="T126" s="5" t="str">
        <f ca="1">IFERROR(__xludf.dummyfunction("""COMPUTED_VALUE"""),"NHÓM 4")</f>
        <v>NHÓM 4</v>
      </c>
      <c r="U126" s="5" t="str">
        <f ca="1">IFERROR(__xludf.dummyfunction("IF(B126="""","""",""Zone ""&amp;IFERROR(VALUE(REGEXEXTRACT(TRIM(B126),""\d+"")),REGEXEXTRACT(TRIM(B126),""\d+"")))"),"Zone 2")</f>
        <v>Zone 2</v>
      </c>
    </row>
    <row r="127" spans="1:21" ht="22.5" hidden="1" customHeight="1" x14ac:dyDescent="0.25">
      <c r="A127" s="4">
        <v>46134.717784363398</v>
      </c>
      <c r="B127" s="5" t="s">
        <v>73</v>
      </c>
      <c r="C127" s="5" t="s">
        <v>74</v>
      </c>
      <c r="D127" s="5" t="s">
        <v>80</v>
      </c>
      <c r="E127" s="5" t="s">
        <v>530</v>
      </c>
      <c r="F127" s="5">
        <v>15</v>
      </c>
      <c r="G127" s="5">
        <v>20</v>
      </c>
      <c r="H127" s="5">
        <v>20</v>
      </c>
      <c r="I127" s="5">
        <v>15</v>
      </c>
      <c r="J127" s="5">
        <v>10</v>
      </c>
      <c r="L127" s="5">
        <v>5</v>
      </c>
      <c r="M127" s="5" t="s">
        <v>531</v>
      </c>
      <c r="N127" s="5" t="s">
        <v>532</v>
      </c>
      <c r="O127" s="5" t="s">
        <v>533</v>
      </c>
      <c r="Q127" s="5" t="s">
        <v>40</v>
      </c>
      <c r="R127" s="5">
        <f t="shared" si="1"/>
        <v>85</v>
      </c>
      <c r="S127" s="5" t="str">
        <f ca="1">IFERROR(__xludf.dummyfunction("""COMPUTED_VALUE"""),"NHÓM 4")</f>
        <v>NHÓM 4</v>
      </c>
      <c r="T127" s="5" t="str">
        <f ca="1">IFERROR(__xludf.dummyfunction("""COMPUTED_VALUE"""),"NHÓM 1")</f>
        <v>NHÓM 1</v>
      </c>
      <c r="U127" s="5" t="str">
        <f ca="1">IFERROR(__xludf.dummyfunction("IF(B127="""","""",""Zone ""&amp;IFERROR(VALUE(REGEXEXTRACT(TRIM(B127),""\d+"")),REGEXEXTRACT(TRIM(B127),""\d+"")))"),"Zone 3")</f>
        <v>Zone 3</v>
      </c>
    </row>
    <row r="128" spans="1:21" ht="22.5" hidden="1" customHeight="1" x14ac:dyDescent="0.25">
      <c r="A128" s="4">
        <v>46134.7181281597</v>
      </c>
      <c r="B128" s="5" t="s">
        <v>196</v>
      </c>
      <c r="C128" s="5" t="s">
        <v>215</v>
      </c>
      <c r="D128" s="5" t="s">
        <v>107</v>
      </c>
      <c r="E128" s="5" t="s">
        <v>56</v>
      </c>
      <c r="F128" s="5">
        <v>12</v>
      </c>
      <c r="G128" s="5">
        <v>12</v>
      </c>
      <c r="H128" s="5">
        <v>12</v>
      </c>
      <c r="I128" s="5">
        <v>12</v>
      </c>
      <c r="J128" s="5">
        <v>8</v>
      </c>
      <c r="L128" s="5">
        <v>3</v>
      </c>
      <c r="M128" s="5" t="s">
        <v>534</v>
      </c>
      <c r="N128" s="5" t="s">
        <v>535</v>
      </c>
      <c r="O128" s="5" t="s">
        <v>536</v>
      </c>
      <c r="Q128" s="5" t="s">
        <v>202</v>
      </c>
      <c r="R128" s="5">
        <f t="shared" si="1"/>
        <v>59</v>
      </c>
      <c r="S128" s="5" t="str">
        <f ca="1">IFERROR(__xludf.dummyfunction("""COMPUTED_VALUE"""),"NHÓM 3")</f>
        <v>NHÓM 3</v>
      </c>
      <c r="T128" s="5" t="str">
        <f ca="1">IFERROR(__xludf.dummyfunction("""COMPUTED_VALUE"""),"NHÓM 5")</f>
        <v>NHÓM 5</v>
      </c>
      <c r="U128" s="5" t="str">
        <f ca="1">IFERROR(__xludf.dummyfunction("IF(B128="""","""",""Zone ""&amp;IFERROR(VALUE(REGEXEXTRACT(TRIM(B128),""\d+"")),REGEXEXTRACT(TRIM(B128),""\d+"")))"),"Zone 1")</f>
        <v>Zone 1</v>
      </c>
    </row>
    <row r="129" spans="1:21" ht="22.5" hidden="1" customHeight="1" x14ac:dyDescent="0.25">
      <c r="A129" s="4">
        <v>46134.718277696797</v>
      </c>
      <c r="B129" s="5" t="s">
        <v>73</v>
      </c>
      <c r="C129" s="5" t="s">
        <v>221</v>
      </c>
      <c r="D129" s="5" t="s">
        <v>80</v>
      </c>
      <c r="E129" s="5" t="s">
        <v>537</v>
      </c>
      <c r="F129" s="5">
        <v>9</v>
      </c>
      <c r="G129" s="5">
        <v>8</v>
      </c>
      <c r="H129" s="5">
        <v>4</v>
      </c>
      <c r="I129" s="5">
        <v>6</v>
      </c>
      <c r="J129" s="5">
        <v>4</v>
      </c>
      <c r="L129" s="5">
        <v>2</v>
      </c>
      <c r="M129" s="5" t="s">
        <v>266</v>
      </c>
      <c r="N129" s="5" t="s">
        <v>538</v>
      </c>
      <c r="O129" s="5" t="s">
        <v>266</v>
      </c>
      <c r="R129" s="5">
        <f t="shared" si="1"/>
        <v>33</v>
      </c>
      <c r="S129" s="5" t="str">
        <f ca="1">IFERROR(__xludf.dummyfunction("""COMPUTED_VALUE"""),"NHÓM 4")</f>
        <v>NHÓM 4</v>
      </c>
      <c r="T129" s="5" t="str">
        <f ca="1">IFERROR(__xludf.dummyfunction("""COMPUTED_VALUE"""),"NHÓM 6")</f>
        <v>NHÓM 6</v>
      </c>
      <c r="U129" s="5" t="str">
        <f ca="1">IFERROR(__xludf.dummyfunction("IF(B129="""","""",""Zone ""&amp;IFERROR(VALUE(REGEXEXTRACT(TRIM(B129),""\d+"")),REGEXEXTRACT(TRIM(B129),""\d+"")))"),"Zone 3")</f>
        <v>Zone 3</v>
      </c>
    </row>
    <row r="130" spans="1:21" ht="22.5" hidden="1" customHeight="1" x14ac:dyDescent="0.25">
      <c r="A130" s="4">
        <v>46134.719448518503</v>
      </c>
      <c r="B130" s="5" t="s">
        <v>73</v>
      </c>
      <c r="C130" s="5" t="s">
        <v>75</v>
      </c>
      <c r="D130" s="5" t="s">
        <v>80</v>
      </c>
      <c r="E130" s="5" t="s">
        <v>539</v>
      </c>
      <c r="F130" s="5">
        <v>3</v>
      </c>
      <c r="G130" s="5">
        <v>12</v>
      </c>
      <c r="H130" s="5">
        <v>12</v>
      </c>
      <c r="I130" s="5">
        <v>3</v>
      </c>
      <c r="J130" s="5">
        <v>4</v>
      </c>
      <c r="L130" s="5">
        <v>5</v>
      </c>
      <c r="M130" s="5" t="s">
        <v>540</v>
      </c>
      <c r="N130" s="5" t="s">
        <v>541</v>
      </c>
      <c r="O130" s="5" t="s">
        <v>542</v>
      </c>
      <c r="R130" s="5">
        <f t="shared" ref="R130:R193" si="2">IF(A130="","",F130+G130+H130+I130+J130+L130)</f>
        <v>39</v>
      </c>
      <c r="S130" s="5" t="str">
        <f ca="1">IFERROR(__xludf.dummyfunction("""COMPUTED_VALUE"""),"NHÓM 4")</f>
        <v>NHÓM 4</v>
      </c>
      <c r="T130" s="5" t="str">
        <f ca="1">IFERROR(__xludf.dummyfunction("""COMPUTED_VALUE"""),"NHÓM 2")</f>
        <v>NHÓM 2</v>
      </c>
      <c r="U130" s="5" t="str">
        <f ca="1">IFERROR(__xludf.dummyfunction("IF(B130="""","""",""Zone ""&amp;IFERROR(VALUE(REGEXEXTRACT(TRIM(B130),""\d+"")),REGEXEXTRACT(TRIM(B130),""\d+"")))"),"Zone 3")</f>
        <v>Zone 3</v>
      </c>
    </row>
    <row r="131" spans="1:21" ht="22.5" hidden="1" customHeight="1" x14ac:dyDescent="0.25">
      <c r="A131" s="4">
        <v>46134.719472627301</v>
      </c>
      <c r="B131" s="5" t="s">
        <v>239</v>
      </c>
      <c r="C131" s="5" t="s">
        <v>74</v>
      </c>
      <c r="D131" s="5" t="s">
        <v>215</v>
      </c>
      <c r="E131" s="5" t="s">
        <v>543</v>
      </c>
      <c r="F131" s="5">
        <v>9</v>
      </c>
      <c r="G131" s="5">
        <v>12</v>
      </c>
      <c r="H131" s="5">
        <v>16</v>
      </c>
      <c r="I131" s="5">
        <v>9</v>
      </c>
      <c r="J131" s="5">
        <v>8</v>
      </c>
      <c r="L131" s="5">
        <v>4</v>
      </c>
      <c r="M131" s="5" t="s">
        <v>544</v>
      </c>
      <c r="N131" s="5" t="s">
        <v>545</v>
      </c>
      <c r="O131" s="5" t="s">
        <v>546</v>
      </c>
      <c r="Q131" s="5" t="s">
        <v>360</v>
      </c>
      <c r="R131" s="5">
        <f t="shared" si="2"/>
        <v>58</v>
      </c>
      <c r="S131" s="5" t="str">
        <f ca="1">IFERROR(__xludf.dummyfunction("""COMPUTED_VALUE"""),"NHÓM 5")</f>
        <v>NHÓM 5</v>
      </c>
      <c r="T131" s="5" t="str">
        <f ca="1">IFERROR(__xludf.dummyfunction("""COMPUTED_VALUE"""),"NHÓM 1")</f>
        <v>NHÓM 1</v>
      </c>
      <c r="U131" s="5" t="str">
        <f ca="1">IFERROR(__xludf.dummyfunction("IF(B131="""","""",""Zone ""&amp;IFERROR(VALUE(REGEXEXTRACT(TRIM(B131),""\d+"")),REGEXEXTRACT(TRIM(B131),""\d+"")))"),"Zone 5")</f>
        <v>Zone 5</v>
      </c>
    </row>
    <row r="132" spans="1:21" ht="22.5" hidden="1" customHeight="1" x14ac:dyDescent="0.25">
      <c r="A132" s="4">
        <v>46134.7202509954</v>
      </c>
      <c r="B132" s="5" t="s">
        <v>106</v>
      </c>
      <c r="C132" s="5" t="s">
        <v>515</v>
      </c>
      <c r="D132" s="5" t="s">
        <v>547</v>
      </c>
      <c r="E132" s="5" t="s">
        <v>548</v>
      </c>
      <c r="F132" s="5">
        <v>12</v>
      </c>
      <c r="G132" s="5">
        <v>12</v>
      </c>
      <c r="H132" s="5">
        <v>12</v>
      </c>
      <c r="I132" s="5">
        <v>9</v>
      </c>
      <c r="J132" s="5">
        <v>6</v>
      </c>
      <c r="L132" s="5">
        <v>3</v>
      </c>
      <c r="M132" s="5" t="s">
        <v>549</v>
      </c>
      <c r="N132" s="5" t="s">
        <v>550</v>
      </c>
      <c r="O132" s="5" t="s">
        <v>551</v>
      </c>
      <c r="Q132" s="5" t="s">
        <v>72</v>
      </c>
      <c r="R132" s="5">
        <f t="shared" si="2"/>
        <v>54</v>
      </c>
      <c r="S132" s="5" t="str">
        <f ca="1">IFERROR(__xludf.dummyfunction("""COMPUTED_VALUE"""),"NHÓM 5")</f>
        <v>NHÓM 5</v>
      </c>
      <c r="T132" s="5" t="str">
        <f ca="1">IFERROR(__xludf.dummyfunction("""COMPUTED_VALUE"""),"NHÓM 1")</f>
        <v>NHÓM 1</v>
      </c>
      <c r="U132" s="5" t="str">
        <f ca="1">IFERROR(__xludf.dummyfunction("IF(B132="""","""",""Zone ""&amp;IFERROR(VALUE(REGEXEXTRACT(TRIM(B132),""\d+"")),REGEXEXTRACT(TRIM(B132),""\d+"")))"),"Zone 2")</f>
        <v>Zone 2</v>
      </c>
    </row>
    <row r="133" spans="1:21" ht="22.5" hidden="1" customHeight="1" x14ac:dyDescent="0.25">
      <c r="A133" s="4">
        <v>46134.720724247702</v>
      </c>
      <c r="B133" s="5" t="s">
        <v>196</v>
      </c>
      <c r="C133" s="5" t="s">
        <v>74</v>
      </c>
      <c r="D133" s="5" t="s">
        <v>80</v>
      </c>
      <c r="E133" s="5" t="s">
        <v>552</v>
      </c>
      <c r="F133" s="5">
        <v>6</v>
      </c>
      <c r="G133" s="5">
        <v>8</v>
      </c>
      <c r="H133" s="5">
        <v>8</v>
      </c>
      <c r="I133" s="5">
        <v>3</v>
      </c>
      <c r="J133" s="5">
        <v>4</v>
      </c>
      <c r="L133" s="5">
        <v>1</v>
      </c>
      <c r="M133" s="5" t="s">
        <v>553</v>
      </c>
      <c r="N133" s="5" t="s">
        <v>554</v>
      </c>
      <c r="O133" s="5" t="s">
        <v>555</v>
      </c>
      <c r="R133" s="5">
        <f t="shared" si="2"/>
        <v>30</v>
      </c>
      <c r="S133" s="5" t="str">
        <f ca="1">IFERROR(__xludf.dummyfunction("""COMPUTED_VALUE"""),"NHÓM 4")</f>
        <v>NHÓM 4</v>
      </c>
      <c r="T133" s="5" t="str">
        <f ca="1">IFERROR(__xludf.dummyfunction("""COMPUTED_VALUE"""),"NHÓM 1")</f>
        <v>NHÓM 1</v>
      </c>
      <c r="U133" s="5" t="str">
        <f ca="1">IFERROR(__xludf.dummyfunction("IF(B133="""","""",""Zone ""&amp;IFERROR(VALUE(REGEXEXTRACT(TRIM(B133),""\d+"")),REGEXEXTRACT(TRIM(B133),""\d+"")))"),"Zone 1")</f>
        <v>Zone 1</v>
      </c>
    </row>
    <row r="134" spans="1:21" ht="22.5" hidden="1" customHeight="1" x14ac:dyDescent="0.25">
      <c r="A134" s="4">
        <v>46134.721987766199</v>
      </c>
      <c r="B134" s="5" t="s">
        <v>73</v>
      </c>
      <c r="C134" s="5" t="s">
        <v>74</v>
      </c>
      <c r="D134" s="5" t="s">
        <v>215</v>
      </c>
      <c r="E134" s="5" t="s">
        <v>556</v>
      </c>
      <c r="F134" s="5">
        <v>15</v>
      </c>
      <c r="G134" s="5">
        <v>20</v>
      </c>
      <c r="H134" s="5">
        <v>20</v>
      </c>
      <c r="I134" s="5">
        <v>15</v>
      </c>
      <c r="J134" s="5">
        <v>10</v>
      </c>
      <c r="L134" s="5">
        <v>5</v>
      </c>
      <c r="M134" s="5" t="s">
        <v>557</v>
      </c>
      <c r="N134" s="5" t="s">
        <v>558</v>
      </c>
      <c r="O134" s="5" t="s">
        <v>559</v>
      </c>
      <c r="Q134" s="5" t="s">
        <v>40</v>
      </c>
      <c r="R134" s="5">
        <f t="shared" si="2"/>
        <v>85</v>
      </c>
      <c r="S134" s="5" t="str">
        <f ca="1">IFERROR(__xludf.dummyfunction("""COMPUTED_VALUE"""),"NHÓM 5")</f>
        <v>NHÓM 5</v>
      </c>
      <c r="T134" s="5" t="str">
        <f ca="1">IFERROR(__xludf.dummyfunction("""COMPUTED_VALUE"""),"NHÓM 1")</f>
        <v>NHÓM 1</v>
      </c>
      <c r="U134" s="5" t="str">
        <f ca="1">IFERROR(__xludf.dummyfunction("IF(B134="""","""",""Zone ""&amp;IFERROR(VALUE(REGEXEXTRACT(TRIM(B134),""\d+"")),REGEXEXTRACT(TRIM(B134),""\d+"")))"),"Zone 3")</f>
        <v>Zone 3</v>
      </c>
    </row>
    <row r="135" spans="1:21" ht="22.5" hidden="1" customHeight="1" x14ac:dyDescent="0.25">
      <c r="A135" s="4">
        <v>46134.722918506901</v>
      </c>
      <c r="B135" s="5" t="s">
        <v>196</v>
      </c>
      <c r="C135" s="5" t="s">
        <v>107</v>
      </c>
      <c r="D135" s="5" t="s">
        <v>80</v>
      </c>
      <c r="E135" s="5" t="s">
        <v>153</v>
      </c>
      <c r="F135" s="5">
        <v>9</v>
      </c>
      <c r="G135" s="5">
        <v>16</v>
      </c>
      <c r="H135" s="5">
        <v>20</v>
      </c>
      <c r="I135" s="5">
        <v>15</v>
      </c>
      <c r="J135" s="5">
        <v>10</v>
      </c>
      <c r="L135" s="5">
        <v>4</v>
      </c>
      <c r="M135" s="5" t="s">
        <v>560</v>
      </c>
      <c r="N135" s="5" t="s">
        <v>561</v>
      </c>
      <c r="O135" s="5" t="s">
        <v>562</v>
      </c>
      <c r="Q135" s="5" t="s">
        <v>72</v>
      </c>
      <c r="R135" s="5">
        <f t="shared" si="2"/>
        <v>74</v>
      </c>
      <c r="S135" s="5" t="str">
        <f ca="1">IFERROR(__xludf.dummyfunction("""COMPUTED_VALUE"""),"NHÓM 4")</f>
        <v>NHÓM 4</v>
      </c>
      <c r="T135" s="5" t="str">
        <f ca="1">IFERROR(__xludf.dummyfunction("""COMPUTED_VALUE"""),"NHÓM 3")</f>
        <v>NHÓM 3</v>
      </c>
      <c r="U135" s="5" t="str">
        <f ca="1">IFERROR(__xludf.dummyfunction("IF(B135="""","""",""Zone ""&amp;IFERROR(VALUE(REGEXEXTRACT(TRIM(B135),""\d+"")),REGEXEXTRACT(TRIM(B135),""\d+"")))"),"Zone 1")</f>
        <v>Zone 1</v>
      </c>
    </row>
    <row r="136" spans="1:21" ht="22.5" hidden="1" customHeight="1" x14ac:dyDescent="0.25">
      <c r="A136" s="4">
        <v>46134.723059421303</v>
      </c>
      <c r="B136" s="5" t="s">
        <v>239</v>
      </c>
      <c r="C136" s="5" t="s">
        <v>80</v>
      </c>
      <c r="D136" s="5" t="s">
        <v>215</v>
      </c>
      <c r="E136" s="5" t="s">
        <v>563</v>
      </c>
      <c r="F136" s="5">
        <v>12</v>
      </c>
      <c r="G136" s="5">
        <v>12</v>
      </c>
      <c r="H136" s="5">
        <v>16</v>
      </c>
      <c r="I136" s="5">
        <v>12</v>
      </c>
      <c r="J136" s="5">
        <v>8</v>
      </c>
      <c r="L136" s="5">
        <v>3</v>
      </c>
      <c r="M136" s="5" t="s">
        <v>363</v>
      </c>
      <c r="N136" s="5" t="s">
        <v>564</v>
      </c>
      <c r="O136" s="5" t="s">
        <v>565</v>
      </c>
      <c r="R136" s="5">
        <f t="shared" si="2"/>
        <v>63</v>
      </c>
      <c r="S136" s="5" t="str">
        <f ca="1">IFERROR(__xludf.dummyfunction("""COMPUTED_VALUE"""),"NHÓM 5")</f>
        <v>NHÓM 5</v>
      </c>
      <c r="T136" s="5" t="str">
        <f ca="1">IFERROR(__xludf.dummyfunction("""COMPUTED_VALUE"""),"NHÓM 4")</f>
        <v>NHÓM 4</v>
      </c>
      <c r="U136" s="5" t="str">
        <f ca="1">IFERROR(__xludf.dummyfunction("IF(B136="""","""",""Zone ""&amp;IFERROR(VALUE(REGEXEXTRACT(TRIM(B136),""\d+"")),REGEXEXTRACT(TRIM(B136),""\d+"")))"),"Zone 5")</f>
        <v>Zone 5</v>
      </c>
    </row>
    <row r="137" spans="1:21" ht="22.5" hidden="1" customHeight="1" x14ac:dyDescent="0.25">
      <c r="A137" s="4">
        <v>46134.723181250003</v>
      </c>
      <c r="B137" s="5" t="s">
        <v>127</v>
      </c>
      <c r="C137" s="5" t="s">
        <v>100</v>
      </c>
      <c r="D137" s="5" t="s">
        <v>193</v>
      </c>
      <c r="E137" s="5" t="s">
        <v>566</v>
      </c>
      <c r="F137" s="5">
        <v>12</v>
      </c>
      <c r="G137" s="5">
        <v>20</v>
      </c>
      <c r="H137" s="5">
        <v>16</v>
      </c>
      <c r="I137" s="5">
        <v>15</v>
      </c>
      <c r="J137" s="5">
        <v>8</v>
      </c>
      <c r="L137" s="5">
        <v>4</v>
      </c>
      <c r="M137" s="5" t="s">
        <v>567</v>
      </c>
      <c r="N137" s="5" t="s">
        <v>568</v>
      </c>
      <c r="O137" s="5" t="s">
        <v>569</v>
      </c>
      <c r="Q137" s="5" t="s">
        <v>570</v>
      </c>
      <c r="R137" s="5">
        <f t="shared" si="2"/>
        <v>75</v>
      </c>
      <c r="S137" s="5" t="str">
        <f ca="1">IFERROR(__xludf.dummyfunction("""COMPUTED_VALUE"""),"NHÓM 6")</f>
        <v>NHÓM 6</v>
      </c>
      <c r="T137" s="5" t="str">
        <f ca="1">IFERROR(__xludf.dummyfunction("""COMPUTED_VALUE"""),"NHÓM 1")</f>
        <v>NHÓM 1</v>
      </c>
      <c r="U137" s="5" t="str">
        <f ca="1">IFERROR(__xludf.dummyfunction("IF(B137="""","""",""Zone ""&amp;IFERROR(VALUE(REGEXEXTRACT(TRIM(B137),""\d+"")),REGEXEXTRACT(TRIM(B137),""\d+"")))"),"Zone 6")</f>
        <v>Zone 6</v>
      </c>
    </row>
    <row r="138" spans="1:21" ht="22.5" hidden="1" customHeight="1" x14ac:dyDescent="0.25">
      <c r="A138" s="4">
        <v>46134.723753877297</v>
      </c>
      <c r="B138" s="5" t="s">
        <v>21</v>
      </c>
      <c r="C138" s="5" t="s">
        <v>197</v>
      </c>
      <c r="D138" s="5" t="s">
        <v>221</v>
      </c>
      <c r="E138" s="5" t="s">
        <v>571</v>
      </c>
      <c r="F138" s="5">
        <v>15</v>
      </c>
      <c r="G138" s="5">
        <v>20</v>
      </c>
      <c r="H138" s="5">
        <v>20</v>
      </c>
      <c r="I138" s="5">
        <v>15</v>
      </c>
      <c r="J138" s="5">
        <v>10</v>
      </c>
      <c r="L138" s="5">
        <v>5</v>
      </c>
      <c r="M138" s="5" t="s">
        <v>572</v>
      </c>
      <c r="N138" s="5" t="s">
        <v>573</v>
      </c>
      <c r="O138" s="5" t="s">
        <v>574</v>
      </c>
      <c r="Q138" s="5" t="s">
        <v>40</v>
      </c>
      <c r="R138" s="5">
        <f t="shared" si="2"/>
        <v>85</v>
      </c>
      <c r="S138" s="5" t="str">
        <f ca="1">IFERROR(__xludf.dummyfunction("""COMPUTED_VALUE"""),"NHÓM 6")</f>
        <v>NHÓM 6</v>
      </c>
      <c r="T138" s="5" t="str">
        <f ca="1">IFERROR(__xludf.dummyfunction("""COMPUTED_VALUE"""),"NHÓM 1")</f>
        <v>NHÓM 1</v>
      </c>
      <c r="U138" s="5" t="str">
        <f ca="1">IFERROR(__xludf.dummyfunction("IF(B138="""","""",""Zone ""&amp;IFERROR(VALUE(REGEXEXTRACT(TRIM(B138),""\d+"")),REGEXEXTRACT(TRIM(B138),""\d+"")))"),"Zone 3")</f>
        <v>Zone 3</v>
      </c>
    </row>
    <row r="139" spans="1:21" ht="22.5" hidden="1" customHeight="1" x14ac:dyDescent="0.25">
      <c r="A139" s="4">
        <v>46134.7244974653</v>
      </c>
      <c r="B139" s="5" t="s">
        <v>127</v>
      </c>
      <c r="C139" s="5" t="s">
        <v>128</v>
      </c>
      <c r="D139" s="5" t="s">
        <v>35</v>
      </c>
      <c r="E139" s="5" t="s">
        <v>575</v>
      </c>
      <c r="F139" s="5">
        <v>9</v>
      </c>
      <c r="G139" s="5">
        <v>16</v>
      </c>
      <c r="H139" s="5">
        <v>16</v>
      </c>
      <c r="I139" s="5">
        <v>12</v>
      </c>
      <c r="J139" s="5">
        <v>8</v>
      </c>
      <c r="L139" s="5">
        <v>3</v>
      </c>
      <c r="M139" s="5" t="s">
        <v>576</v>
      </c>
      <c r="N139" s="5" t="s">
        <v>577</v>
      </c>
      <c r="O139" s="5" t="s">
        <v>578</v>
      </c>
      <c r="R139" s="5">
        <f t="shared" si="2"/>
        <v>64</v>
      </c>
      <c r="S139" s="5" t="str">
        <f ca="1">IFERROR(__xludf.dummyfunction("""COMPUTED_VALUE"""),"NHÓM 4")</f>
        <v>NHÓM 4</v>
      </c>
      <c r="T139" s="5" t="str">
        <f ca="1">IFERROR(__xludf.dummyfunction("""COMPUTED_VALUE"""),"NHÓM 2")</f>
        <v>NHÓM 2</v>
      </c>
      <c r="U139" s="5" t="str">
        <f ca="1">IFERROR(__xludf.dummyfunction("IF(B139="""","""",""Zone ""&amp;IFERROR(VALUE(REGEXEXTRACT(TRIM(B139),""\d+"")),REGEXEXTRACT(TRIM(B139),""\d+"")))"),"Zone 6")</f>
        <v>Zone 6</v>
      </c>
    </row>
    <row r="140" spans="1:21" ht="22.5" hidden="1" customHeight="1" x14ac:dyDescent="0.25">
      <c r="A140" s="4">
        <v>46134.725336273201</v>
      </c>
      <c r="B140" s="5" t="s">
        <v>196</v>
      </c>
      <c r="C140" s="5" t="s">
        <v>75</v>
      </c>
      <c r="D140" s="5" t="s">
        <v>80</v>
      </c>
      <c r="E140" s="5" t="s">
        <v>579</v>
      </c>
      <c r="F140" s="5">
        <v>6</v>
      </c>
      <c r="G140" s="5">
        <v>8</v>
      </c>
      <c r="H140" s="5">
        <v>8</v>
      </c>
      <c r="I140" s="5">
        <v>9</v>
      </c>
      <c r="J140" s="5">
        <v>6</v>
      </c>
      <c r="L140" s="5">
        <v>3</v>
      </c>
      <c r="M140" s="5" t="s">
        <v>580</v>
      </c>
      <c r="N140" s="5" t="s">
        <v>581</v>
      </c>
      <c r="O140" s="5" t="s">
        <v>582</v>
      </c>
      <c r="R140" s="5">
        <f t="shared" si="2"/>
        <v>40</v>
      </c>
      <c r="S140" s="5" t="str">
        <f ca="1">IFERROR(__xludf.dummyfunction("""COMPUTED_VALUE"""),"NHÓM 4")</f>
        <v>NHÓM 4</v>
      </c>
      <c r="T140" s="5" t="str">
        <f ca="1">IFERROR(__xludf.dummyfunction("""COMPUTED_VALUE"""),"NHÓM 2")</f>
        <v>NHÓM 2</v>
      </c>
      <c r="U140" s="5" t="str">
        <f ca="1">IFERROR(__xludf.dummyfunction("IF(B140="""","""",""Zone ""&amp;IFERROR(VALUE(REGEXEXTRACT(TRIM(B140),""\d+"")),REGEXEXTRACT(TRIM(B140),""\d+"")))"),"Zone 1")</f>
        <v>Zone 1</v>
      </c>
    </row>
    <row r="141" spans="1:21" ht="22.5" hidden="1" customHeight="1" x14ac:dyDescent="0.25">
      <c r="A141" s="4">
        <v>46134.7253414468</v>
      </c>
      <c r="B141" s="5" t="s">
        <v>196</v>
      </c>
      <c r="C141" s="5" t="s">
        <v>221</v>
      </c>
      <c r="D141" s="5" t="s">
        <v>80</v>
      </c>
      <c r="E141" s="5" t="s">
        <v>583</v>
      </c>
      <c r="F141" s="5">
        <v>12</v>
      </c>
      <c r="G141" s="5">
        <v>8</v>
      </c>
      <c r="H141" s="5">
        <v>16</v>
      </c>
      <c r="I141" s="5">
        <v>12</v>
      </c>
      <c r="J141" s="5">
        <v>8</v>
      </c>
      <c r="L141" s="5">
        <v>3</v>
      </c>
      <c r="M141" s="5" t="s">
        <v>584</v>
      </c>
      <c r="N141" s="5" t="s">
        <v>585</v>
      </c>
      <c r="O141" s="5" t="s">
        <v>586</v>
      </c>
      <c r="Q141" s="5" t="s">
        <v>28</v>
      </c>
      <c r="R141" s="5">
        <f t="shared" si="2"/>
        <v>59</v>
      </c>
      <c r="S141" s="5" t="str">
        <f ca="1">IFERROR(__xludf.dummyfunction("""COMPUTED_VALUE"""),"NHÓM 4")</f>
        <v>NHÓM 4</v>
      </c>
      <c r="T141" s="5" t="str">
        <f ca="1">IFERROR(__xludf.dummyfunction("""COMPUTED_VALUE"""),"NHÓM 6")</f>
        <v>NHÓM 6</v>
      </c>
      <c r="U141" s="5" t="str">
        <f ca="1">IFERROR(__xludf.dummyfunction("IF(B141="""","""",""Zone ""&amp;IFERROR(VALUE(REGEXEXTRACT(TRIM(B141),""\d+"")),REGEXEXTRACT(TRIM(B141),""\d+"")))"),"Zone 1")</f>
        <v>Zone 1</v>
      </c>
    </row>
    <row r="142" spans="1:21" ht="22.5" hidden="1" customHeight="1" x14ac:dyDescent="0.25">
      <c r="A142" s="4">
        <v>46134.727222638903</v>
      </c>
      <c r="B142" s="5" t="s">
        <v>239</v>
      </c>
      <c r="C142" s="5" t="s">
        <v>75</v>
      </c>
      <c r="D142" s="5" t="s">
        <v>215</v>
      </c>
      <c r="E142" s="5" t="s">
        <v>587</v>
      </c>
      <c r="F142" s="5">
        <v>12</v>
      </c>
      <c r="G142" s="5">
        <v>16</v>
      </c>
      <c r="H142" s="5">
        <v>12</v>
      </c>
      <c r="I142" s="5">
        <v>9</v>
      </c>
      <c r="J142" s="5">
        <v>6</v>
      </c>
      <c r="L142" s="5">
        <v>5</v>
      </c>
      <c r="M142" s="5" t="s">
        <v>588</v>
      </c>
      <c r="N142" s="5" t="s">
        <v>589</v>
      </c>
      <c r="O142" s="5" t="s">
        <v>590</v>
      </c>
      <c r="R142" s="5">
        <f t="shared" si="2"/>
        <v>60</v>
      </c>
      <c r="S142" s="5" t="str">
        <f ca="1">IFERROR(__xludf.dummyfunction("""COMPUTED_VALUE"""),"NHÓM 5")</f>
        <v>NHÓM 5</v>
      </c>
      <c r="T142" s="5" t="str">
        <f ca="1">IFERROR(__xludf.dummyfunction("""COMPUTED_VALUE"""),"NHÓM 2")</f>
        <v>NHÓM 2</v>
      </c>
      <c r="U142" s="5" t="str">
        <f ca="1">IFERROR(__xludf.dummyfunction("IF(B142="""","""",""Zone ""&amp;IFERROR(VALUE(REGEXEXTRACT(TRIM(B142),""\d+"")),REGEXEXTRACT(TRIM(B142),""\d+"")))"),"Zone 5")</f>
        <v>Zone 5</v>
      </c>
    </row>
    <row r="143" spans="1:21" ht="22.5" hidden="1" customHeight="1" x14ac:dyDescent="0.25">
      <c r="A143" s="4">
        <v>46134.727967847197</v>
      </c>
      <c r="B143" s="5" t="s">
        <v>239</v>
      </c>
      <c r="C143" s="5" t="s">
        <v>101</v>
      </c>
      <c r="D143" s="5" t="s">
        <v>193</v>
      </c>
      <c r="E143" s="5" t="s">
        <v>591</v>
      </c>
      <c r="F143" s="5">
        <v>12</v>
      </c>
      <c r="G143" s="5">
        <v>16</v>
      </c>
      <c r="H143" s="5">
        <v>16</v>
      </c>
      <c r="I143" s="5">
        <v>15</v>
      </c>
      <c r="J143" s="5">
        <v>6</v>
      </c>
      <c r="L143" s="5">
        <v>5</v>
      </c>
      <c r="M143" s="5" t="s">
        <v>592</v>
      </c>
      <c r="N143" s="5" t="s">
        <v>593</v>
      </c>
      <c r="O143" s="5" t="s">
        <v>594</v>
      </c>
      <c r="Q143" s="5" t="s">
        <v>117</v>
      </c>
      <c r="R143" s="5">
        <f t="shared" si="2"/>
        <v>70</v>
      </c>
      <c r="S143" s="5" t="str">
        <f ca="1">IFERROR(__xludf.dummyfunction("""COMPUTED_VALUE"""),"NHÓM 6")</f>
        <v>NHÓM 6</v>
      </c>
      <c r="T143" s="5" t="str">
        <f ca="1">IFERROR(__xludf.dummyfunction("""COMPUTED_VALUE"""),"NHÓM 3")</f>
        <v>NHÓM 3</v>
      </c>
      <c r="U143" s="5" t="str">
        <f ca="1">IFERROR(__xludf.dummyfunction("IF(B143="""","""",""Zone ""&amp;IFERROR(VALUE(REGEXEXTRACT(TRIM(B143),""\d+"")),REGEXEXTRACT(TRIM(B143),""\d+"")))"),"Zone 5")</f>
        <v>Zone 5</v>
      </c>
    </row>
    <row r="144" spans="1:21" ht="22.5" hidden="1" customHeight="1" x14ac:dyDescent="0.25">
      <c r="A144" s="4">
        <v>46134.728131585704</v>
      </c>
      <c r="B144" s="5" t="s">
        <v>239</v>
      </c>
      <c r="C144" s="5" t="s">
        <v>107</v>
      </c>
      <c r="D144" s="5" t="s">
        <v>215</v>
      </c>
      <c r="E144" s="5" t="s">
        <v>595</v>
      </c>
      <c r="F144" s="5">
        <v>9</v>
      </c>
      <c r="G144" s="5">
        <v>16</v>
      </c>
      <c r="H144" s="5">
        <v>8</v>
      </c>
      <c r="I144" s="5">
        <v>6</v>
      </c>
      <c r="J144" s="5">
        <v>6</v>
      </c>
      <c r="L144" s="5">
        <v>4</v>
      </c>
      <c r="M144" s="5" t="s">
        <v>596</v>
      </c>
      <c r="N144" s="5" t="s">
        <v>597</v>
      </c>
      <c r="O144" s="5" t="s">
        <v>598</v>
      </c>
      <c r="R144" s="5">
        <f t="shared" si="2"/>
        <v>49</v>
      </c>
      <c r="S144" s="5" t="str">
        <f ca="1">IFERROR(__xludf.dummyfunction("""COMPUTED_VALUE"""),"NHÓM 5")</f>
        <v>NHÓM 5</v>
      </c>
      <c r="T144" s="5" t="str">
        <f ca="1">IFERROR(__xludf.dummyfunction("""COMPUTED_VALUE"""),"NHÓM 3")</f>
        <v>NHÓM 3</v>
      </c>
      <c r="U144" s="5" t="str">
        <f ca="1">IFERROR(__xludf.dummyfunction("IF(B144="""","""",""Zone ""&amp;IFERROR(VALUE(REGEXEXTRACT(TRIM(B144),""\d+"")),REGEXEXTRACT(TRIM(B144),""\d+"")))"),"Zone 5")</f>
        <v>Zone 5</v>
      </c>
    </row>
    <row r="145" spans="1:21" ht="22.5" hidden="1" customHeight="1" x14ac:dyDescent="0.25">
      <c r="A145" s="4">
        <v>46134.728507500004</v>
      </c>
      <c r="B145" s="5" t="s">
        <v>73</v>
      </c>
      <c r="C145" s="5" t="s">
        <v>215</v>
      </c>
      <c r="D145" s="5" t="s">
        <v>80</v>
      </c>
      <c r="E145" s="5" t="s">
        <v>599</v>
      </c>
      <c r="F145" s="5">
        <v>12</v>
      </c>
      <c r="G145" s="5">
        <v>16</v>
      </c>
      <c r="H145" s="5">
        <v>16</v>
      </c>
      <c r="I145" s="5">
        <v>12</v>
      </c>
      <c r="J145" s="5">
        <v>8</v>
      </c>
      <c r="L145" s="5">
        <v>4</v>
      </c>
      <c r="M145" s="5" t="s">
        <v>600</v>
      </c>
      <c r="N145" s="5" t="s">
        <v>601</v>
      </c>
      <c r="O145" s="5" t="s">
        <v>602</v>
      </c>
      <c r="Q145" s="5" t="s">
        <v>168</v>
      </c>
      <c r="R145" s="5">
        <f t="shared" si="2"/>
        <v>68</v>
      </c>
      <c r="S145" s="5" t="str">
        <f ca="1">IFERROR(__xludf.dummyfunction("""COMPUTED_VALUE"""),"NHÓM 4")</f>
        <v>NHÓM 4</v>
      </c>
      <c r="T145" s="5" t="str">
        <f ca="1">IFERROR(__xludf.dummyfunction("""COMPUTED_VALUE"""),"NHÓM 5")</f>
        <v>NHÓM 5</v>
      </c>
      <c r="U145" s="5" t="str">
        <f ca="1">IFERROR(__xludf.dummyfunction("IF(B145="""","""",""Zone ""&amp;IFERROR(VALUE(REGEXEXTRACT(TRIM(B145),""\d+"")),REGEXEXTRACT(TRIM(B145),""\d+"")))"),"Zone 3")</f>
        <v>Zone 3</v>
      </c>
    </row>
    <row r="146" spans="1:21" ht="22.5" hidden="1" customHeight="1" x14ac:dyDescent="0.25">
      <c r="A146" s="4">
        <v>46134.728853449102</v>
      </c>
      <c r="B146" s="5" t="s">
        <v>73</v>
      </c>
      <c r="C146" s="5" t="s">
        <v>75</v>
      </c>
      <c r="D146" s="5" t="s">
        <v>215</v>
      </c>
      <c r="E146" s="5" t="s">
        <v>603</v>
      </c>
      <c r="F146" s="5">
        <v>15</v>
      </c>
      <c r="G146" s="5">
        <v>20</v>
      </c>
      <c r="H146" s="5">
        <v>12</v>
      </c>
      <c r="I146" s="5">
        <v>12</v>
      </c>
      <c r="J146" s="5">
        <v>10</v>
      </c>
      <c r="L146" s="5">
        <v>4</v>
      </c>
      <c r="M146" s="5" t="s">
        <v>604</v>
      </c>
      <c r="N146" s="5" t="s">
        <v>605</v>
      </c>
      <c r="O146" s="5" t="s">
        <v>606</v>
      </c>
      <c r="R146" s="5">
        <f t="shared" si="2"/>
        <v>73</v>
      </c>
      <c r="S146" s="5" t="str">
        <f ca="1">IFERROR(__xludf.dummyfunction("""COMPUTED_VALUE"""),"NHÓM 5")</f>
        <v>NHÓM 5</v>
      </c>
      <c r="T146" s="5" t="str">
        <f ca="1">IFERROR(__xludf.dummyfunction("""COMPUTED_VALUE"""),"NHÓM 2")</f>
        <v>NHÓM 2</v>
      </c>
      <c r="U146" s="5" t="str">
        <f ca="1">IFERROR(__xludf.dummyfunction("IF(B146="""","""",""Zone ""&amp;IFERROR(VALUE(REGEXEXTRACT(TRIM(B146),""\d+"")),REGEXEXTRACT(TRIM(B146),""\d+"")))"),"Zone 3")</f>
        <v>Zone 3</v>
      </c>
    </row>
    <row r="147" spans="1:21" ht="22.5" hidden="1" customHeight="1" x14ac:dyDescent="0.25">
      <c r="A147" s="4">
        <v>46134.732686030096</v>
      </c>
      <c r="B147" s="5" t="s">
        <v>239</v>
      </c>
      <c r="C147" s="5" t="s">
        <v>74</v>
      </c>
      <c r="D147" s="5" t="s">
        <v>221</v>
      </c>
      <c r="E147" s="5" t="s">
        <v>607</v>
      </c>
      <c r="F147" s="5">
        <v>12</v>
      </c>
      <c r="G147" s="5">
        <v>16</v>
      </c>
      <c r="H147" s="5">
        <v>12</v>
      </c>
      <c r="I147" s="5">
        <v>12</v>
      </c>
      <c r="J147" s="5">
        <v>8</v>
      </c>
      <c r="L147" s="5">
        <v>4</v>
      </c>
      <c r="M147" s="5" t="s">
        <v>608</v>
      </c>
      <c r="N147" s="5" t="s">
        <v>609</v>
      </c>
      <c r="O147" s="5" t="s">
        <v>610</v>
      </c>
      <c r="Q147" s="5" t="s">
        <v>117</v>
      </c>
      <c r="R147" s="5">
        <f t="shared" si="2"/>
        <v>64</v>
      </c>
      <c r="S147" s="5" t="str">
        <f ca="1">IFERROR(__xludf.dummyfunction("""COMPUTED_VALUE"""),"NHÓM 6")</f>
        <v>NHÓM 6</v>
      </c>
      <c r="T147" s="5" t="str">
        <f ca="1">IFERROR(__xludf.dummyfunction("""COMPUTED_VALUE"""),"NHÓM 1")</f>
        <v>NHÓM 1</v>
      </c>
      <c r="U147" s="5" t="str">
        <f ca="1">IFERROR(__xludf.dummyfunction("IF(B147="""","""",""Zone ""&amp;IFERROR(VALUE(REGEXEXTRACT(TRIM(B147),""\d+"")),REGEXEXTRACT(TRIM(B147),""\d+"")))"),"Zone 5")</f>
        <v>Zone 5</v>
      </c>
    </row>
    <row r="148" spans="1:21" ht="22.5" hidden="1" customHeight="1" x14ac:dyDescent="0.25">
      <c r="A148" s="4">
        <v>46134.733001053202</v>
      </c>
      <c r="B148" s="5" t="s">
        <v>239</v>
      </c>
      <c r="C148" s="5" t="s">
        <v>80</v>
      </c>
      <c r="D148" s="5" t="s">
        <v>221</v>
      </c>
      <c r="E148" s="5" t="s">
        <v>611</v>
      </c>
      <c r="F148" s="5">
        <v>12</v>
      </c>
      <c r="G148" s="5">
        <v>12</v>
      </c>
      <c r="H148" s="5">
        <v>16</v>
      </c>
      <c r="I148" s="5">
        <v>12</v>
      </c>
      <c r="J148" s="5">
        <v>6</v>
      </c>
      <c r="L148" s="5">
        <v>4</v>
      </c>
      <c r="M148" s="5" t="s">
        <v>363</v>
      </c>
      <c r="N148" s="5" t="s">
        <v>612</v>
      </c>
      <c r="O148" s="5" t="s">
        <v>613</v>
      </c>
      <c r="R148" s="5">
        <f t="shared" si="2"/>
        <v>62</v>
      </c>
      <c r="S148" s="5" t="str">
        <f ca="1">IFERROR(__xludf.dummyfunction("""COMPUTED_VALUE"""),"NHÓM 6")</f>
        <v>NHÓM 6</v>
      </c>
      <c r="T148" s="5" t="str">
        <f ca="1">IFERROR(__xludf.dummyfunction("""COMPUTED_VALUE"""),"NHÓM 4")</f>
        <v>NHÓM 4</v>
      </c>
      <c r="U148" s="5" t="str">
        <f ca="1">IFERROR(__xludf.dummyfunction("IF(B148="""","""",""Zone ""&amp;IFERROR(VALUE(REGEXEXTRACT(TRIM(B148),""\d+"")),REGEXEXTRACT(TRIM(B148),""\d+"")))"),"Zone 5")</f>
        <v>Zone 5</v>
      </c>
    </row>
    <row r="149" spans="1:21" ht="22.5" hidden="1" customHeight="1" x14ac:dyDescent="0.25">
      <c r="A149" s="4">
        <v>46134.733980405101</v>
      </c>
      <c r="B149" s="5" t="s">
        <v>127</v>
      </c>
      <c r="C149" s="5" t="s">
        <v>100</v>
      </c>
      <c r="D149" s="5" t="s">
        <v>128</v>
      </c>
      <c r="E149" s="5" t="s">
        <v>614</v>
      </c>
      <c r="F149" s="5">
        <v>9</v>
      </c>
      <c r="G149" s="5">
        <v>16</v>
      </c>
      <c r="H149" s="5">
        <v>16</v>
      </c>
      <c r="I149" s="5">
        <v>9</v>
      </c>
      <c r="J149" s="5">
        <v>6</v>
      </c>
      <c r="L149" s="5">
        <v>2</v>
      </c>
      <c r="M149" s="5" t="s">
        <v>615</v>
      </c>
      <c r="N149" s="5" t="s">
        <v>616</v>
      </c>
      <c r="O149" s="5" t="s">
        <v>617</v>
      </c>
      <c r="Q149" s="5" t="s">
        <v>394</v>
      </c>
      <c r="R149" s="5">
        <f t="shared" si="2"/>
        <v>58</v>
      </c>
      <c r="S149" s="5" t="str">
        <f ca="1">IFERROR(__xludf.dummyfunction("""COMPUTED_VALUE"""),"NHÓM 2")</f>
        <v>NHÓM 2</v>
      </c>
      <c r="T149" s="5" t="str">
        <f ca="1">IFERROR(__xludf.dummyfunction("""COMPUTED_VALUE"""),"NHÓM 1")</f>
        <v>NHÓM 1</v>
      </c>
      <c r="U149" s="5" t="str">
        <f ca="1">IFERROR(__xludf.dummyfunction("IF(B149="""","""",""Zone ""&amp;IFERROR(VALUE(REGEXEXTRACT(TRIM(B149),""\d+"")),REGEXEXTRACT(TRIM(B149),""\d+"")))"),"Zone 6")</f>
        <v>Zone 6</v>
      </c>
    </row>
    <row r="150" spans="1:21" ht="22.5" hidden="1" customHeight="1" x14ac:dyDescent="0.25">
      <c r="A150" s="4">
        <v>46134.735614201403</v>
      </c>
      <c r="B150" s="5" t="s">
        <v>196</v>
      </c>
      <c r="C150" s="5" t="s">
        <v>80</v>
      </c>
      <c r="D150" s="5" t="s">
        <v>215</v>
      </c>
      <c r="E150" s="5" t="s">
        <v>599</v>
      </c>
      <c r="F150" s="5">
        <v>15</v>
      </c>
      <c r="G150" s="5">
        <v>16</v>
      </c>
      <c r="H150" s="5">
        <v>16</v>
      </c>
      <c r="I150" s="5">
        <v>12</v>
      </c>
      <c r="J150" s="5">
        <v>8</v>
      </c>
      <c r="L150" s="5">
        <v>5</v>
      </c>
      <c r="M150" s="5" t="s">
        <v>618</v>
      </c>
      <c r="N150" s="5" t="s">
        <v>619</v>
      </c>
      <c r="O150" s="5" t="s">
        <v>620</v>
      </c>
      <c r="R150" s="5">
        <f t="shared" si="2"/>
        <v>72</v>
      </c>
      <c r="S150" s="5" t="str">
        <f ca="1">IFERROR(__xludf.dummyfunction("""COMPUTED_VALUE"""),"NHÓM 5")</f>
        <v>NHÓM 5</v>
      </c>
      <c r="T150" s="5" t="str">
        <f ca="1">IFERROR(__xludf.dummyfunction("""COMPUTED_VALUE"""),"NHÓM 4")</f>
        <v>NHÓM 4</v>
      </c>
      <c r="U150" s="5" t="str">
        <f ca="1">IFERROR(__xludf.dummyfunction("IF(B150="""","""",""Zone ""&amp;IFERROR(VALUE(REGEXEXTRACT(TRIM(B150),""\d+"")),REGEXEXTRACT(TRIM(B150),""\d+"")))"),"Zone 1")</f>
        <v>Zone 1</v>
      </c>
    </row>
    <row r="151" spans="1:21" ht="22.5" hidden="1" customHeight="1" x14ac:dyDescent="0.25">
      <c r="A151" s="4">
        <v>46134.735917199097</v>
      </c>
      <c r="B151" s="5" t="s">
        <v>196</v>
      </c>
      <c r="C151" s="5" t="s">
        <v>107</v>
      </c>
      <c r="D151" s="5" t="s">
        <v>221</v>
      </c>
      <c r="E151" s="5" t="s">
        <v>621</v>
      </c>
      <c r="F151" s="5">
        <v>12</v>
      </c>
      <c r="G151" s="5">
        <v>20</v>
      </c>
      <c r="H151" s="5">
        <v>20</v>
      </c>
      <c r="I151" s="5">
        <v>15</v>
      </c>
      <c r="J151" s="5">
        <v>8</v>
      </c>
      <c r="L151" s="5">
        <v>4</v>
      </c>
      <c r="M151" s="5" t="s">
        <v>461</v>
      </c>
      <c r="N151" s="5" t="s">
        <v>308</v>
      </c>
      <c r="O151" s="5" t="s">
        <v>622</v>
      </c>
      <c r="Q151" s="5" t="s">
        <v>50</v>
      </c>
      <c r="R151" s="5">
        <f t="shared" si="2"/>
        <v>79</v>
      </c>
      <c r="S151" s="5" t="str">
        <f ca="1">IFERROR(__xludf.dummyfunction("""COMPUTED_VALUE"""),"NHÓM 6")</f>
        <v>NHÓM 6</v>
      </c>
      <c r="T151" s="5" t="str">
        <f ca="1">IFERROR(__xludf.dummyfunction("""COMPUTED_VALUE"""),"NHÓM 3")</f>
        <v>NHÓM 3</v>
      </c>
      <c r="U151" s="5" t="str">
        <f ca="1">IFERROR(__xludf.dummyfunction("IF(B151="""","""",""Zone ""&amp;IFERROR(VALUE(REGEXEXTRACT(TRIM(B151),""\d+"")),REGEXEXTRACT(TRIM(B151),""\d+"")))"),"Zone 1")</f>
        <v>Zone 1</v>
      </c>
    </row>
    <row r="152" spans="1:21" ht="22.5" hidden="1" customHeight="1" x14ac:dyDescent="0.25">
      <c r="A152" s="4">
        <v>46134.736205648202</v>
      </c>
      <c r="B152" s="5" t="s">
        <v>196</v>
      </c>
      <c r="C152" s="5" t="s">
        <v>215</v>
      </c>
      <c r="D152" s="5" t="s">
        <v>221</v>
      </c>
      <c r="E152" s="5" t="s">
        <v>623</v>
      </c>
      <c r="F152" s="5">
        <v>12</v>
      </c>
      <c r="G152" s="5">
        <v>16</v>
      </c>
      <c r="H152" s="5">
        <v>16</v>
      </c>
      <c r="I152" s="5">
        <v>12</v>
      </c>
      <c r="J152" s="5">
        <v>8</v>
      </c>
      <c r="L152" s="5">
        <v>4</v>
      </c>
      <c r="M152" s="5" t="s">
        <v>624</v>
      </c>
      <c r="N152" s="5" t="s">
        <v>435</v>
      </c>
      <c r="O152" s="5" t="s">
        <v>137</v>
      </c>
      <c r="Q152" s="5" t="s">
        <v>28</v>
      </c>
      <c r="R152" s="5">
        <f t="shared" si="2"/>
        <v>68</v>
      </c>
      <c r="S152" s="5" t="str">
        <f ca="1">IFERROR(__xludf.dummyfunction("""COMPUTED_VALUE"""),"NHÓM 6")</f>
        <v>NHÓM 6</v>
      </c>
      <c r="T152" s="5" t="str">
        <f ca="1">IFERROR(__xludf.dummyfunction("""COMPUTED_VALUE"""),"NHÓM 5")</f>
        <v>NHÓM 5</v>
      </c>
      <c r="U152" s="5" t="str">
        <f ca="1">IFERROR(__xludf.dummyfunction("IF(B152="""","""",""Zone ""&amp;IFERROR(VALUE(REGEXEXTRACT(TRIM(B152),""\d+"")),REGEXEXTRACT(TRIM(B152),""\d+"")))"),"Zone 1")</f>
        <v>Zone 1</v>
      </c>
    </row>
    <row r="153" spans="1:21" ht="22.5" hidden="1" customHeight="1" x14ac:dyDescent="0.25">
      <c r="A153" s="4">
        <v>46134.736453460602</v>
      </c>
      <c r="B153" s="5" t="s">
        <v>239</v>
      </c>
      <c r="C153" s="5" t="s">
        <v>75</v>
      </c>
      <c r="D153" s="5" t="s">
        <v>221</v>
      </c>
      <c r="E153" s="5" t="s">
        <v>625</v>
      </c>
      <c r="F153" s="5">
        <v>15</v>
      </c>
      <c r="G153" s="5">
        <v>16</v>
      </c>
      <c r="H153" s="5">
        <v>16</v>
      </c>
      <c r="I153" s="5">
        <v>9</v>
      </c>
      <c r="J153" s="5">
        <v>10</v>
      </c>
      <c r="L153" s="5">
        <v>5</v>
      </c>
      <c r="M153" s="5" t="s">
        <v>626</v>
      </c>
      <c r="N153" s="5" t="s">
        <v>627</v>
      </c>
      <c r="O153" s="5" t="s">
        <v>628</v>
      </c>
      <c r="R153" s="5">
        <f t="shared" si="2"/>
        <v>71</v>
      </c>
      <c r="S153" s="5" t="str">
        <f ca="1">IFERROR(__xludf.dummyfunction("""COMPUTED_VALUE"""),"NHÓM 6")</f>
        <v>NHÓM 6</v>
      </c>
      <c r="T153" s="5" t="str">
        <f ca="1">IFERROR(__xludf.dummyfunction("""COMPUTED_VALUE"""),"NHÓM 2")</f>
        <v>NHÓM 2</v>
      </c>
      <c r="U153" s="5" t="str">
        <f ca="1">IFERROR(__xludf.dummyfunction("IF(B153="""","""",""Zone ""&amp;IFERROR(VALUE(REGEXEXTRACT(TRIM(B153),""\d+"")),REGEXEXTRACT(TRIM(B153),""\d+"")))"),"Zone 5")</f>
        <v>Zone 5</v>
      </c>
    </row>
    <row r="154" spans="1:21" ht="22.5" hidden="1" customHeight="1" x14ac:dyDescent="0.25">
      <c r="A154" s="4">
        <v>46134.736550740701</v>
      </c>
      <c r="B154" s="5" t="s">
        <v>73</v>
      </c>
      <c r="C154" s="5" t="s">
        <v>75</v>
      </c>
      <c r="D154" s="5" t="s">
        <v>221</v>
      </c>
      <c r="E154" s="5" t="s">
        <v>629</v>
      </c>
      <c r="F154" s="5">
        <v>15</v>
      </c>
      <c r="G154" s="5">
        <v>20</v>
      </c>
      <c r="H154" s="5">
        <v>20</v>
      </c>
      <c r="I154" s="5">
        <v>15</v>
      </c>
      <c r="J154" s="5">
        <v>10</v>
      </c>
      <c r="L154" s="5">
        <v>5</v>
      </c>
      <c r="M154" s="5" t="s">
        <v>630</v>
      </c>
      <c r="N154" s="5" t="s">
        <v>631</v>
      </c>
      <c r="O154" s="5" t="s">
        <v>632</v>
      </c>
      <c r="R154" s="5">
        <f t="shared" si="2"/>
        <v>85</v>
      </c>
      <c r="S154" s="5" t="str">
        <f ca="1">IFERROR(__xludf.dummyfunction("""COMPUTED_VALUE"""),"NHÓM 6")</f>
        <v>NHÓM 6</v>
      </c>
      <c r="T154" s="5" t="str">
        <f ca="1">IFERROR(__xludf.dummyfunction("""COMPUTED_VALUE"""),"NHÓM 2")</f>
        <v>NHÓM 2</v>
      </c>
      <c r="U154" s="5" t="str">
        <f ca="1">IFERROR(__xludf.dummyfunction("IF(B154="""","""",""Zone ""&amp;IFERROR(VALUE(REGEXEXTRACT(TRIM(B154),""\d+"")),REGEXEXTRACT(TRIM(B154),""\d+"")))"),"Zone 3")</f>
        <v>Zone 3</v>
      </c>
    </row>
    <row r="155" spans="1:21" ht="22.5" customHeight="1" x14ac:dyDescent="0.25">
      <c r="A155" s="4">
        <v>46134.737114930598</v>
      </c>
      <c r="B155" s="5" t="s">
        <v>73</v>
      </c>
      <c r="C155" s="5" t="s">
        <v>80</v>
      </c>
      <c r="D155" s="5" t="s">
        <v>221</v>
      </c>
      <c r="E155" s="5" t="s">
        <v>633</v>
      </c>
      <c r="F155" s="5">
        <v>12</v>
      </c>
      <c r="G155" s="5">
        <v>16</v>
      </c>
      <c r="H155" s="5">
        <v>16</v>
      </c>
      <c r="I155" s="5">
        <v>15</v>
      </c>
      <c r="J155" s="5">
        <v>8</v>
      </c>
      <c r="L155" s="5">
        <v>4</v>
      </c>
      <c r="M155" s="5" t="s">
        <v>634</v>
      </c>
      <c r="N155" s="5" t="s">
        <v>635</v>
      </c>
      <c r="O155" s="5" t="s">
        <v>636</v>
      </c>
      <c r="Q155" s="5" t="s">
        <v>637</v>
      </c>
      <c r="R155" s="5">
        <f t="shared" si="2"/>
        <v>71</v>
      </c>
      <c r="S155" s="5" t="str">
        <f ca="1">IFERROR(__xludf.dummyfunction("""COMPUTED_VALUE"""),"NHÓM 6")</f>
        <v>NHÓM 6</v>
      </c>
      <c r="T155" s="5" t="str">
        <f ca="1">IFERROR(__xludf.dummyfunction("""COMPUTED_VALUE"""),"NHÓM 4")</f>
        <v>NHÓM 4</v>
      </c>
      <c r="U155" s="5" t="str">
        <f ca="1">IFERROR(__xludf.dummyfunction("IF(B155="""","""",""Zone ""&amp;IFERROR(VALUE(REGEXEXTRACT(TRIM(B155),""\d+"")),REGEXEXTRACT(TRIM(B155),""\d+"")))"),"Zone 3")</f>
        <v>Zone 3</v>
      </c>
    </row>
    <row r="156" spans="1:21" ht="22.5" customHeight="1" x14ac:dyDescent="0.25">
      <c r="A156" s="4">
        <v>46134.737238668997</v>
      </c>
      <c r="B156" s="5" t="s">
        <v>73</v>
      </c>
      <c r="C156" s="5" t="s">
        <v>80</v>
      </c>
      <c r="D156" s="5" t="s">
        <v>215</v>
      </c>
      <c r="E156" s="5" t="s">
        <v>24</v>
      </c>
      <c r="F156" s="5">
        <v>12</v>
      </c>
      <c r="G156" s="5">
        <v>12</v>
      </c>
      <c r="H156" s="5">
        <v>12</v>
      </c>
      <c r="I156" s="5">
        <v>9</v>
      </c>
      <c r="J156" s="5">
        <v>6</v>
      </c>
      <c r="L156" s="5">
        <v>4</v>
      </c>
      <c r="M156" s="5" t="s">
        <v>638</v>
      </c>
      <c r="N156" s="5" t="s">
        <v>38</v>
      </c>
      <c r="O156" s="5" t="s">
        <v>38</v>
      </c>
      <c r="R156" s="5">
        <f t="shared" si="2"/>
        <v>55</v>
      </c>
      <c r="S156" s="5" t="str">
        <f ca="1">IFERROR(__xludf.dummyfunction("""COMPUTED_VALUE"""),"NHÓM 5")</f>
        <v>NHÓM 5</v>
      </c>
      <c r="T156" s="5" t="str">
        <f ca="1">IFERROR(__xludf.dummyfunction("""COMPUTED_VALUE"""),"NHÓM 4")</f>
        <v>NHÓM 4</v>
      </c>
      <c r="U156" s="5" t="str">
        <f ca="1">IFERROR(__xludf.dummyfunction("IF(B156="""","""",""Zone ""&amp;IFERROR(VALUE(REGEXEXTRACT(TRIM(B156),""\d+"")),REGEXEXTRACT(TRIM(B156),""\d+"")))"),"Zone 3")</f>
        <v>Zone 3</v>
      </c>
    </row>
    <row r="157" spans="1:21" ht="22.5" hidden="1" customHeight="1" x14ac:dyDescent="0.25">
      <c r="A157" s="4">
        <v>46134.737633738398</v>
      </c>
      <c r="B157" s="5" t="s">
        <v>239</v>
      </c>
      <c r="C157" s="5" t="s">
        <v>101</v>
      </c>
      <c r="D157" s="5" t="s">
        <v>128</v>
      </c>
      <c r="E157" s="5" t="s">
        <v>639</v>
      </c>
      <c r="F157" s="5">
        <v>12</v>
      </c>
      <c r="G157" s="5">
        <v>16</v>
      </c>
      <c r="H157" s="5">
        <v>16</v>
      </c>
      <c r="I157" s="5">
        <v>9</v>
      </c>
      <c r="J157" s="5">
        <v>10</v>
      </c>
      <c r="L157" s="5">
        <v>3</v>
      </c>
      <c r="M157" s="5" t="s">
        <v>640</v>
      </c>
      <c r="N157" s="5" t="s">
        <v>641</v>
      </c>
      <c r="O157" s="5" t="s">
        <v>642</v>
      </c>
      <c r="R157" s="5">
        <f t="shared" si="2"/>
        <v>66</v>
      </c>
      <c r="S157" s="5" t="str">
        <f ca="1">IFERROR(__xludf.dummyfunction("""COMPUTED_VALUE"""),"NHÓM 2")</f>
        <v>NHÓM 2</v>
      </c>
      <c r="T157" s="5" t="str">
        <f ca="1">IFERROR(__xludf.dummyfunction("""COMPUTED_VALUE"""),"NHÓM 3")</f>
        <v>NHÓM 3</v>
      </c>
      <c r="U157" s="5" t="str">
        <f ca="1">IFERROR(__xludf.dummyfunction("IF(B157="""","""",""Zone ""&amp;IFERROR(VALUE(REGEXEXTRACT(TRIM(B157),""\d+"")),REGEXEXTRACT(TRIM(B157),""\d+"")))"),"Zone 5")</f>
        <v>Zone 5</v>
      </c>
    </row>
    <row r="158" spans="1:21" ht="22.5" hidden="1" customHeight="1" x14ac:dyDescent="0.25">
      <c r="A158" s="4">
        <v>46134.737799074101</v>
      </c>
      <c r="B158" s="5">
        <v>5</v>
      </c>
      <c r="C158" s="5">
        <v>3</v>
      </c>
      <c r="D158" s="5">
        <v>6</v>
      </c>
      <c r="E158" s="5" t="s">
        <v>643</v>
      </c>
      <c r="F158" s="5">
        <v>9</v>
      </c>
      <c r="G158" s="5">
        <v>12</v>
      </c>
      <c r="H158" s="5">
        <v>16</v>
      </c>
      <c r="I158" s="5">
        <v>12</v>
      </c>
      <c r="J158" s="5">
        <v>6</v>
      </c>
      <c r="L158" s="5">
        <v>4</v>
      </c>
      <c r="M158" s="5" t="s">
        <v>644</v>
      </c>
      <c r="N158" s="5" t="s">
        <v>645</v>
      </c>
      <c r="O158" s="5" t="s">
        <v>266</v>
      </c>
      <c r="R158" s="5">
        <f t="shared" si="2"/>
        <v>59</v>
      </c>
      <c r="S158" s="5" t="str">
        <f ca="1">IFERROR(__xludf.dummyfunction("""COMPUTED_VALUE"""),"NHÓM 6")</f>
        <v>NHÓM 6</v>
      </c>
      <c r="T158" s="5" t="str">
        <f ca="1">IFERROR(__xludf.dummyfunction("""COMPUTED_VALUE"""),"NHÓM 3")</f>
        <v>NHÓM 3</v>
      </c>
      <c r="U158" s="5" t="str">
        <f ca="1">IFERROR(__xludf.dummyfunction("IF(B158="""","""",""Zone ""&amp;IFERROR(VALUE(REGEXEXTRACT(TRIM(B158),""\d+"")),REGEXEXTRACT(TRIM(B158),""\d+"")))"),"Zone 5")</f>
        <v>Zone 5</v>
      </c>
    </row>
    <row r="159" spans="1:21" ht="22.5" hidden="1" customHeight="1" x14ac:dyDescent="0.25">
      <c r="A159" s="4">
        <v>46134.7384349653</v>
      </c>
      <c r="B159" s="5" t="s">
        <v>127</v>
      </c>
      <c r="C159" s="5" t="s">
        <v>74</v>
      </c>
      <c r="D159" s="5" t="s">
        <v>107</v>
      </c>
      <c r="E159" s="5" t="s">
        <v>646</v>
      </c>
      <c r="F159" s="5">
        <v>12</v>
      </c>
      <c r="G159" s="5">
        <v>16</v>
      </c>
      <c r="H159" s="5">
        <v>12</v>
      </c>
      <c r="I159" s="5">
        <v>9</v>
      </c>
      <c r="J159" s="5">
        <v>8</v>
      </c>
      <c r="L159" s="5">
        <v>4</v>
      </c>
      <c r="M159" s="5" t="s">
        <v>647</v>
      </c>
      <c r="N159" s="5" t="s">
        <v>648</v>
      </c>
      <c r="O159" s="5" t="s">
        <v>649</v>
      </c>
      <c r="Q159" s="5" t="s">
        <v>28</v>
      </c>
      <c r="R159" s="5">
        <f t="shared" si="2"/>
        <v>61</v>
      </c>
      <c r="S159" s="5" t="str">
        <f ca="1">IFERROR(__xludf.dummyfunction("""COMPUTED_VALUE"""),"NHÓM 3")</f>
        <v>NHÓM 3</v>
      </c>
      <c r="T159" s="5" t="str">
        <f ca="1">IFERROR(__xludf.dummyfunction("""COMPUTED_VALUE"""),"NHÓM 1")</f>
        <v>NHÓM 1</v>
      </c>
      <c r="U159" s="5" t="str">
        <f ca="1">IFERROR(__xludf.dummyfunction("IF(B159="""","""",""Zone ""&amp;IFERROR(VALUE(REGEXEXTRACT(TRIM(B159),""\d+"")),REGEXEXTRACT(TRIM(B159),""\d+"")))"),"Zone 6")</f>
        <v>Zone 6</v>
      </c>
    </row>
    <row r="160" spans="1:21" ht="22.5" hidden="1" customHeight="1" x14ac:dyDescent="0.25">
      <c r="A160" s="4">
        <v>46134.739086504604</v>
      </c>
      <c r="B160" s="5">
        <v>1</v>
      </c>
      <c r="C160" s="5">
        <v>4</v>
      </c>
      <c r="D160" s="5">
        <v>6</v>
      </c>
      <c r="E160" s="5" t="s">
        <v>650</v>
      </c>
      <c r="F160" s="5">
        <v>15</v>
      </c>
      <c r="G160" s="5">
        <v>12</v>
      </c>
      <c r="H160" s="5">
        <v>12</v>
      </c>
      <c r="I160" s="5">
        <v>9</v>
      </c>
      <c r="J160" s="5">
        <v>6</v>
      </c>
      <c r="L160" s="5">
        <v>3</v>
      </c>
      <c r="M160" s="5" t="s">
        <v>651</v>
      </c>
      <c r="N160" s="5" t="s">
        <v>435</v>
      </c>
      <c r="O160" s="5" t="s">
        <v>38</v>
      </c>
      <c r="Q160" s="5" t="s">
        <v>50</v>
      </c>
      <c r="R160" s="5">
        <f t="shared" si="2"/>
        <v>57</v>
      </c>
      <c r="S160" s="5" t="str">
        <f ca="1">IFERROR(__xludf.dummyfunction("""COMPUTED_VALUE"""),"NHÓM 6")</f>
        <v>NHÓM 6</v>
      </c>
      <c r="T160" s="5" t="str">
        <f ca="1">IFERROR(__xludf.dummyfunction("""COMPUTED_VALUE"""),"NHÓM 4")</f>
        <v>NHÓM 4</v>
      </c>
      <c r="U160" s="5" t="str">
        <f ca="1">IFERROR(__xludf.dummyfunction("IF(B160="""","""",""Zone ""&amp;IFERROR(VALUE(REGEXEXTRACT(TRIM(B160),""\d+"")),REGEXEXTRACT(TRIM(B160),""\d+"")))"),"Zone 1")</f>
        <v>Zone 1</v>
      </c>
    </row>
    <row r="161" spans="1:21" ht="22.5" hidden="1" customHeight="1" x14ac:dyDescent="0.25">
      <c r="A161" s="4">
        <v>46134.7391510995</v>
      </c>
      <c r="B161" s="5" t="s">
        <v>196</v>
      </c>
      <c r="C161" s="5" t="s">
        <v>80</v>
      </c>
      <c r="D161" s="5" t="s">
        <v>215</v>
      </c>
      <c r="E161" s="5" t="s">
        <v>652</v>
      </c>
      <c r="F161" s="5">
        <v>12</v>
      </c>
      <c r="G161" s="5">
        <v>16</v>
      </c>
      <c r="H161" s="5">
        <v>16</v>
      </c>
      <c r="I161" s="5">
        <v>15</v>
      </c>
      <c r="J161" s="5">
        <v>8</v>
      </c>
      <c r="L161" s="5">
        <v>5</v>
      </c>
      <c r="M161" s="5" t="s">
        <v>653</v>
      </c>
      <c r="N161" s="5" t="s">
        <v>654</v>
      </c>
      <c r="O161" s="5" t="s">
        <v>655</v>
      </c>
      <c r="Q161" s="5" t="s">
        <v>637</v>
      </c>
      <c r="R161" s="5">
        <f t="shared" si="2"/>
        <v>72</v>
      </c>
      <c r="S161" s="5" t="str">
        <f ca="1">IFERROR(__xludf.dummyfunction("""COMPUTED_VALUE"""),"NHÓM 5")</f>
        <v>NHÓM 5</v>
      </c>
      <c r="T161" s="5" t="str">
        <f ca="1">IFERROR(__xludf.dummyfunction("""COMPUTED_VALUE"""),"NHÓM 4")</f>
        <v>NHÓM 4</v>
      </c>
      <c r="U161" s="5" t="str">
        <f ca="1">IFERROR(__xludf.dummyfunction("IF(B161="""","""",""Zone ""&amp;IFERROR(VALUE(REGEXEXTRACT(TRIM(B161),""\d+"")),REGEXEXTRACT(TRIM(B161),""\d+"")))"),"Zone 1")</f>
        <v>Zone 1</v>
      </c>
    </row>
    <row r="162" spans="1:21" ht="22.5" hidden="1" customHeight="1" x14ac:dyDescent="0.25">
      <c r="A162" s="4">
        <v>46134.740926400496</v>
      </c>
      <c r="B162" s="5" t="s">
        <v>239</v>
      </c>
      <c r="C162" s="5" t="s">
        <v>656</v>
      </c>
      <c r="D162" s="5" t="s">
        <v>221</v>
      </c>
      <c r="E162" s="5" t="s">
        <v>607</v>
      </c>
      <c r="F162" s="5">
        <v>9</v>
      </c>
      <c r="G162" s="5">
        <v>12</v>
      </c>
      <c r="H162" s="5">
        <v>12</v>
      </c>
      <c r="I162" s="5">
        <v>6</v>
      </c>
      <c r="J162" s="5">
        <v>6</v>
      </c>
      <c r="L162" s="5">
        <v>4</v>
      </c>
      <c r="M162" s="5" t="s">
        <v>657</v>
      </c>
      <c r="N162" s="5" t="s">
        <v>658</v>
      </c>
      <c r="O162" s="5" t="s">
        <v>659</v>
      </c>
      <c r="Q162" s="5" t="s">
        <v>28</v>
      </c>
      <c r="R162" s="5">
        <f t="shared" si="2"/>
        <v>49</v>
      </c>
      <c r="S162" s="5" t="str">
        <f ca="1">IFERROR(__xludf.dummyfunction("""COMPUTED_VALUE"""),"NHÓM 6")</f>
        <v>NHÓM 6</v>
      </c>
      <c r="T162" s="5" t="str">
        <f ca="1">IFERROR(__xludf.dummyfunction("""COMPUTED_VALUE"""),"NHÓM 5")</f>
        <v>NHÓM 5</v>
      </c>
      <c r="U162" s="5" t="str">
        <f ca="1">IFERROR(__xludf.dummyfunction("IF(B162="""","""",""Zone ""&amp;IFERROR(VALUE(REGEXEXTRACT(TRIM(B162),""\d+"")),REGEXEXTRACT(TRIM(B162),""\d+"")))"),"Zone 5")</f>
        <v>Zone 5</v>
      </c>
    </row>
    <row r="163" spans="1:21" ht="22.5" hidden="1" customHeight="1" x14ac:dyDescent="0.25">
      <c r="B163" s="5"/>
      <c r="R163" s="5" t="str">
        <f t="shared" si="2"/>
        <v/>
      </c>
      <c r="S163" s="5" t="str">
        <f ca="1">IFERROR(__xludf.dummyfunction("""COMPUTED_VALUE"""),"")</f>
        <v/>
      </c>
      <c r="T163" s="5" t="str">
        <f ca="1">IFERROR(__xludf.dummyfunction("""COMPUTED_VALUE"""),"")</f>
        <v/>
      </c>
      <c r="U163" s="5" t="str">
        <f ca="1">IFERROR(__xludf.dummyfunction("IF(B163="""","""",""Zone ""&amp;IFERROR(VALUE(REGEXEXTRACT(TRIM(B163),""\d+"")),REGEXEXTRACT(TRIM(B163),""\d+"")))"),"")</f>
        <v/>
      </c>
    </row>
    <row r="164" spans="1:21" ht="22.5" hidden="1" customHeight="1" x14ac:dyDescent="0.25">
      <c r="R164" s="5" t="str">
        <f t="shared" si="2"/>
        <v/>
      </c>
      <c r="S164" s="5" t="str">
        <f ca="1">IFERROR(__xludf.dummyfunction("""COMPUTED_VALUE"""),"")</f>
        <v/>
      </c>
      <c r="T164" s="5" t="str">
        <f ca="1">IFERROR(__xludf.dummyfunction("""COMPUTED_VALUE"""),"")</f>
        <v/>
      </c>
      <c r="U164" s="5" t="str">
        <f ca="1">IFERROR(__xludf.dummyfunction("IF(B164="""","""",""Zone ""&amp;IFERROR(VALUE(REGEXEXTRACT(TRIM(B164),""\d+"")),REGEXEXTRACT(TRIM(B164),""\d+"")))"),"")</f>
        <v/>
      </c>
    </row>
    <row r="165" spans="1:21" ht="22.5" hidden="1" customHeight="1" x14ac:dyDescent="0.25">
      <c r="R165" s="5" t="str">
        <f t="shared" si="2"/>
        <v/>
      </c>
      <c r="S165" s="5" t="str">
        <f ca="1">IFERROR(__xludf.dummyfunction("""COMPUTED_VALUE"""),"")</f>
        <v/>
      </c>
      <c r="T165" s="5" t="str">
        <f ca="1">IFERROR(__xludf.dummyfunction("""COMPUTED_VALUE"""),"")</f>
        <v/>
      </c>
      <c r="U165" s="5" t="str">
        <f ca="1">IFERROR(__xludf.dummyfunction("IF(B165="""","""",""Zone ""&amp;IFERROR(VALUE(REGEXEXTRACT(TRIM(B165),""\d+"")),REGEXEXTRACT(TRIM(B165),""\d+"")))"),"")</f>
        <v/>
      </c>
    </row>
    <row r="166" spans="1:21" ht="22.5" hidden="1" customHeight="1" x14ac:dyDescent="0.25">
      <c r="R166" s="5" t="str">
        <f t="shared" si="2"/>
        <v/>
      </c>
      <c r="S166" s="5" t="str">
        <f ca="1">IFERROR(__xludf.dummyfunction("""COMPUTED_VALUE"""),"")</f>
        <v/>
      </c>
      <c r="T166" s="5" t="str">
        <f ca="1">IFERROR(__xludf.dummyfunction("""COMPUTED_VALUE"""),"")</f>
        <v/>
      </c>
      <c r="U166" s="5" t="str">
        <f ca="1">IFERROR(__xludf.dummyfunction("IF(B166="""","""",""Zone ""&amp;IFERROR(VALUE(REGEXEXTRACT(TRIM(B166),""\d+"")),REGEXEXTRACT(TRIM(B166),""\d+"")))"),"")</f>
        <v/>
      </c>
    </row>
    <row r="167" spans="1:21" ht="22.5" hidden="1" customHeight="1" x14ac:dyDescent="0.25">
      <c r="R167" s="5" t="str">
        <f t="shared" si="2"/>
        <v/>
      </c>
      <c r="S167" s="5" t="str">
        <f ca="1">IFERROR(__xludf.dummyfunction("""COMPUTED_VALUE"""),"")</f>
        <v/>
      </c>
      <c r="T167" s="5" t="str">
        <f ca="1">IFERROR(__xludf.dummyfunction("""COMPUTED_VALUE"""),"")</f>
        <v/>
      </c>
      <c r="U167" s="5" t="str">
        <f ca="1">IFERROR(__xludf.dummyfunction("IF(B167="""","""",""Zone ""&amp;IFERROR(VALUE(REGEXEXTRACT(TRIM(B167),""\d+"")),REGEXEXTRACT(TRIM(B167),""\d+"")))"),"")</f>
        <v/>
      </c>
    </row>
    <row r="168" spans="1:21" ht="22.5" hidden="1" customHeight="1" x14ac:dyDescent="0.25">
      <c r="R168" s="5" t="str">
        <f t="shared" si="2"/>
        <v/>
      </c>
      <c r="S168" s="5" t="str">
        <f ca="1">IFERROR(__xludf.dummyfunction("""COMPUTED_VALUE"""),"")</f>
        <v/>
      </c>
      <c r="T168" s="5" t="str">
        <f ca="1">IFERROR(__xludf.dummyfunction("""COMPUTED_VALUE"""),"")</f>
        <v/>
      </c>
      <c r="U168" s="5" t="str">
        <f ca="1">IFERROR(__xludf.dummyfunction("IF(B168="""","""",""Zone ""&amp;IFERROR(VALUE(REGEXEXTRACT(TRIM(B168),""\d+"")),REGEXEXTRACT(TRIM(B168),""\d+"")))"),"")</f>
        <v/>
      </c>
    </row>
    <row r="169" spans="1:21" ht="22.5" hidden="1" customHeight="1" x14ac:dyDescent="0.25">
      <c r="R169" s="5" t="str">
        <f t="shared" si="2"/>
        <v/>
      </c>
      <c r="S169" s="5" t="str">
        <f ca="1">IFERROR(__xludf.dummyfunction("""COMPUTED_VALUE"""),"")</f>
        <v/>
      </c>
      <c r="T169" s="5" t="str">
        <f ca="1">IFERROR(__xludf.dummyfunction("""COMPUTED_VALUE"""),"")</f>
        <v/>
      </c>
      <c r="U169" s="5" t="str">
        <f ca="1">IFERROR(__xludf.dummyfunction("IF(B169="""","""",""Zone ""&amp;IFERROR(VALUE(REGEXEXTRACT(TRIM(B169),""\d+"")),REGEXEXTRACT(TRIM(B169),""\d+"")))"),"")</f>
        <v/>
      </c>
    </row>
    <row r="170" spans="1:21" ht="22.5" hidden="1" customHeight="1" x14ac:dyDescent="0.25">
      <c r="R170" s="5" t="str">
        <f t="shared" si="2"/>
        <v/>
      </c>
      <c r="S170" s="5" t="str">
        <f ca="1">IFERROR(__xludf.dummyfunction("""COMPUTED_VALUE"""),"")</f>
        <v/>
      </c>
      <c r="T170" s="5" t="str">
        <f ca="1">IFERROR(__xludf.dummyfunction("""COMPUTED_VALUE"""),"")</f>
        <v/>
      </c>
      <c r="U170" s="5" t="str">
        <f ca="1">IFERROR(__xludf.dummyfunction("IF(B170="""","""",""Zone ""&amp;IFERROR(VALUE(REGEXEXTRACT(TRIM(B170),""\d+"")),REGEXEXTRACT(TRIM(B170),""\d+"")))"),"")</f>
        <v/>
      </c>
    </row>
    <row r="171" spans="1:21" ht="22.5" hidden="1" customHeight="1" x14ac:dyDescent="0.25">
      <c r="R171" s="5" t="str">
        <f t="shared" si="2"/>
        <v/>
      </c>
      <c r="S171" s="5" t="str">
        <f ca="1">IFERROR(__xludf.dummyfunction("""COMPUTED_VALUE"""),"")</f>
        <v/>
      </c>
      <c r="T171" s="5" t="str">
        <f ca="1">IFERROR(__xludf.dummyfunction("""COMPUTED_VALUE"""),"")</f>
        <v/>
      </c>
      <c r="U171" s="5" t="str">
        <f ca="1">IFERROR(__xludf.dummyfunction("IF(B171="""","""",""Zone ""&amp;IFERROR(VALUE(REGEXEXTRACT(TRIM(B171),""\d+"")),REGEXEXTRACT(TRIM(B171),""\d+"")))"),"")</f>
        <v/>
      </c>
    </row>
    <row r="172" spans="1:21" ht="22.5" hidden="1" customHeight="1" x14ac:dyDescent="0.25">
      <c r="R172" s="5" t="str">
        <f t="shared" si="2"/>
        <v/>
      </c>
      <c r="S172" s="5" t="str">
        <f ca="1">IFERROR(__xludf.dummyfunction("""COMPUTED_VALUE"""),"")</f>
        <v/>
      </c>
      <c r="T172" s="5" t="str">
        <f ca="1">IFERROR(__xludf.dummyfunction("""COMPUTED_VALUE"""),"")</f>
        <v/>
      </c>
      <c r="U172" s="5" t="str">
        <f ca="1">IFERROR(__xludf.dummyfunction("IF(B172="""","""",""Zone ""&amp;IFERROR(VALUE(REGEXEXTRACT(TRIM(B172),""\d+"")),REGEXEXTRACT(TRIM(B172),""\d+"")))"),"")</f>
        <v/>
      </c>
    </row>
    <row r="173" spans="1:21" ht="22.5" hidden="1" customHeight="1" x14ac:dyDescent="0.25">
      <c r="R173" s="5" t="str">
        <f t="shared" si="2"/>
        <v/>
      </c>
      <c r="S173" s="5" t="str">
        <f ca="1">IFERROR(__xludf.dummyfunction("""COMPUTED_VALUE"""),"")</f>
        <v/>
      </c>
      <c r="T173" s="5" t="str">
        <f ca="1">IFERROR(__xludf.dummyfunction("""COMPUTED_VALUE"""),"")</f>
        <v/>
      </c>
      <c r="U173" s="5" t="str">
        <f ca="1">IFERROR(__xludf.dummyfunction("IF(B173="""","""",""Zone ""&amp;IFERROR(VALUE(REGEXEXTRACT(TRIM(B173),""\d+"")),REGEXEXTRACT(TRIM(B173),""\d+"")))"),"")</f>
        <v/>
      </c>
    </row>
    <row r="174" spans="1:21" ht="22.5" hidden="1" customHeight="1" x14ac:dyDescent="0.25">
      <c r="R174" s="5" t="str">
        <f t="shared" si="2"/>
        <v/>
      </c>
      <c r="S174" s="5" t="str">
        <f ca="1">IFERROR(__xludf.dummyfunction("""COMPUTED_VALUE"""),"")</f>
        <v/>
      </c>
      <c r="T174" s="5" t="str">
        <f ca="1">IFERROR(__xludf.dummyfunction("""COMPUTED_VALUE"""),"")</f>
        <v/>
      </c>
      <c r="U174" s="5" t="str">
        <f ca="1">IFERROR(__xludf.dummyfunction("IF(B174="""","""",""Zone ""&amp;IFERROR(VALUE(REGEXEXTRACT(TRIM(B174),""\d+"")),REGEXEXTRACT(TRIM(B174),""\d+"")))"),"")</f>
        <v/>
      </c>
    </row>
    <row r="175" spans="1:21" ht="22.5" hidden="1" customHeight="1" x14ac:dyDescent="0.25">
      <c r="R175" s="5" t="str">
        <f t="shared" si="2"/>
        <v/>
      </c>
      <c r="S175" s="5" t="str">
        <f ca="1">IFERROR(__xludf.dummyfunction("""COMPUTED_VALUE"""),"")</f>
        <v/>
      </c>
      <c r="T175" s="5" t="str">
        <f ca="1">IFERROR(__xludf.dummyfunction("""COMPUTED_VALUE"""),"")</f>
        <v/>
      </c>
      <c r="U175" s="5" t="str">
        <f ca="1">IFERROR(__xludf.dummyfunction("IF(B175="""","""",""Zone ""&amp;IFERROR(VALUE(REGEXEXTRACT(TRIM(B175),""\d+"")),REGEXEXTRACT(TRIM(B175),""\d+"")))"),"")</f>
        <v/>
      </c>
    </row>
    <row r="176" spans="1:21" ht="22.5" hidden="1" customHeight="1" x14ac:dyDescent="0.25">
      <c r="R176" s="5" t="str">
        <f t="shared" si="2"/>
        <v/>
      </c>
      <c r="S176" s="5" t="str">
        <f ca="1">IFERROR(__xludf.dummyfunction("""COMPUTED_VALUE"""),"")</f>
        <v/>
      </c>
      <c r="T176" s="5" t="str">
        <f ca="1">IFERROR(__xludf.dummyfunction("""COMPUTED_VALUE"""),"")</f>
        <v/>
      </c>
      <c r="U176" s="5" t="str">
        <f ca="1">IFERROR(__xludf.dummyfunction("IF(B176="""","""",""Zone ""&amp;IFERROR(VALUE(REGEXEXTRACT(TRIM(B176),""\d+"")),REGEXEXTRACT(TRIM(B176),""\d+"")))"),"")</f>
        <v/>
      </c>
    </row>
    <row r="177" spans="18:21" ht="22.5" hidden="1" customHeight="1" x14ac:dyDescent="0.25">
      <c r="R177" s="5" t="str">
        <f t="shared" si="2"/>
        <v/>
      </c>
      <c r="S177" s="5" t="str">
        <f ca="1">IFERROR(__xludf.dummyfunction("""COMPUTED_VALUE"""),"")</f>
        <v/>
      </c>
      <c r="T177" s="5" t="str">
        <f ca="1">IFERROR(__xludf.dummyfunction("""COMPUTED_VALUE"""),"")</f>
        <v/>
      </c>
      <c r="U177" s="5" t="str">
        <f ca="1">IFERROR(__xludf.dummyfunction("IF(B177="""","""",""Zone ""&amp;IFERROR(VALUE(REGEXEXTRACT(TRIM(B177),""\d+"")),REGEXEXTRACT(TRIM(B177),""\d+"")))"),"")</f>
        <v/>
      </c>
    </row>
    <row r="178" spans="18:21" ht="22.5" hidden="1" customHeight="1" x14ac:dyDescent="0.25">
      <c r="R178" s="5" t="str">
        <f t="shared" si="2"/>
        <v/>
      </c>
      <c r="S178" s="5" t="str">
        <f ca="1">IFERROR(__xludf.dummyfunction("""COMPUTED_VALUE"""),"")</f>
        <v/>
      </c>
      <c r="T178" s="5" t="str">
        <f ca="1">IFERROR(__xludf.dummyfunction("""COMPUTED_VALUE"""),"")</f>
        <v/>
      </c>
      <c r="U178" s="5" t="str">
        <f ca="1">IFERROR(__xludf.dummyfunction("IF(B178="""","""",""Zone ""&amp;IFERROR(VALUE(REGEXEXTRACT(TRIM(B178),""\d+"")),REGEXEXTRACT(TRIM(B178),""\d+"")))"),"")</f>
        <v/>
      </c>
    </row>
    <row r="179" spans="18:21" ht="22.5" hidden="1" customHeight="1" x14ac:dyDescent="0.25">
      <c r="R179" s="5" t="str">
        <f t="shared" si="2"/>
        <v/>
      </c>
      <c r="S179" s="5" t="str">
        <f ca="1">IFERROR(__xludf.dummyfunction("""COMPUTED_VALUE"""),"")</f>
        <v/>
      </c>
      <c r="T179" s="5" t="str">
        <f ca="1">IFERROR(__xludf.dummyfunction("""COMPUTED_VALUE"""),"")</f>
        <v/>
      </c>
      <c r="U179" s="5" t="str">
        <f ca="1">IFERROR(__xludf.dummyfunction("IF(B179="""","""",""Zone ""&amp;IFERROR(VALUE(REGEXEXTRACT(TRIM(B179),""\d+"")),REGEXEXTRACT(TRIM(B179),""\d+"")))"),"")</f>
        <v/>
      </c>
    </row>
    <row r="180" spans="18:21" ht="22.5" hidden="1" customHeight="1" x14ac:dyDescent="0.25">
      <c r="R180" s="5" t="str">
        <f t="shared" si="2"/>
        <v/>
      </c>
      <c r="S180" s="5" t="str">
        <f ca="1">IFERROR(__xludf.dummyfunction("""COMPUTED_VALUE"""),"")</f>
        <v/>
      </c>
      <c r="T180" s="5" t="str">
        <f ca="1">IFERROR(__xludf.dummyfunction("""COMPUTED_VALUE"""),"")</f>
        <v/>
      </c>
      <c r="U180" s="5" t="str">
        <f ca="1">IFERROR(__xludf.dummyfunction("IF(B180="""","""",""Zone ""&amp;IFERROR(VALUE(REGEXEXTRACT(TRIM(B180),""\d+"")),REGEXEXTRACT(TRIM(B180),""\d+"")))"),"")</f>
        <v/>
      </c>
    </row>
    <row r="181" spans="18:21" ht="22.5" hidden="1" customHeight="1" x14ac:dyDescent="0.25">
      <c r="R181" s="5" t="str">
        <f t="shared" si="2"/>
        <v/>
      </c>
      <c r="S181" s="5" t="str">
        <f ca="1">IFERROR(__xludf.dummyfunction("""COMPUTED_VALUE"""),"")</f>
        <v/>
      </c>
      <c r="T181" s="5" t="str">
        <f ca="1">IFERROR(__xludf.dummyfunction("""COMPUTED_VALUE"""),"")</f>
        <v/>
      </c>
      <c r="U181" s="5" t="str">
        <f ca="1">IFERROR(__xludf.dummyfunction("IF(B181="""","""",""Zone ""&amp;IFERROR(VALUE(REGEXEXTRACT(TRIM(B181),""\d+"")),REGEXEXTRACT(TRIM(B181),""\d+"")))"),"")</f>
        <v/>
      </c>
    </row>
    <row r="182" spans="18:21" ht="22.5" hidden="1" customHeight="1" x14ac:dyDescent="0.25">
      <c r="R182" s="6" t="str">
        <f t="shared" si="2"/>
        <v/>
      </c>
      <c r="S182" s="6" t="str">
        <f ca="1">IFERROR(__xludf.dummyfunction("""COMPUTED_VALUE"""),"")</f>
        <v/>
      </c>
      <c r="T182" s="6" t="str">
        <f ca="1">IFERROR(__xludf.dummyfunction("""COMPUTED_VALUE"""),"")</f>
        <v/>
      </c>
    </row>
    <row r="183" spans="18:21" ht="22.5" hidden="1" customHeight="1" x14ac:dyDescent="0.25">
      <c r="R183" s="6" t="str">
        <f t="shared" si="2"/>
        <v/>
      </c>
      <c r="S183" s="6" t="str">
        <f ca="1">IFERROR(__xludf.dummyfunction("""COMPUTED_VALUE"""),"")</f>
        <v/>
      </c>
      <c r="T183" s="6" t="str">
        <f ca="1">IFERROR(__xludf.dummyfunction("""COMPUTED_VALUE"""),"")</f>
        <v/>
      </c>
    </row>
    <row r="184" spans="18:21" ht="22.5" hidden="1" customHeight="1" x14ac:dyDescent="0.25">
      <c r="R184" s="6" t="str">
        <f t="shared" si="2"/>
        <v/>
      </c>
      <c r="S184" s="6" t="str">
        <f ca="1">IFERROR(__xludf.dummyfunction("""COMPUTED_VALUE"""),"")</f>
        <v/>
      </c>
      <c r="T184" s="6" t="str">
        <f ca="1">IFERROR(__xludf.dummyfunction("""COMPUTED_VALUE"""),"")</f>
        <v/>
      </c>
    </row>
    <row r="185" spans="18:21" ht="22.5" hidden="1" customHeight="1" x14ac:dyDescent="0.25">
      <c r="R185" s="6" t="str">
        <f t="shared" si="2"/>
        <v/>
      </c>
      <c r="S185" s="6" t="str">
        <f ca="1">IFERROR(__xludf.dummyfunction("""COMPUTED_VALUE"""),"")</f>
        <v/>
      </c>
      <c r="T185" s="6" t="str">
        <f ca="1">IFERROR(__xludf.dummyfunction("""COMPUTED_VALUE"""),"")</f>
        <v/>
      </c>
    </row>
    <row r="186" spans="18:21" ht="22.5" hidden="1" customHeight="1" x14ac:dyDescent="0.25">
      <c r="R186" s="6" t="str">
        <f t="shared" si="2"/>
        <v/>
      </c>
      <c r="S186" s="6" t="str">
        <f ca="1">IFERROR(__xludf.dummyfunction("""COMPUTED_VALUE"""),"")</f>
        <v/>
      </c>
      <c r="T186" s="6" t="str">
        <f ca="1">IFERROR(__xludf.dummyfunction("""COMPUTED_VALUE"""),"")</f>
        <v/>
      </c>
    </row>
    <row r="187" spans="18:21" ht="22.5" hidden="1" customHeight="1" x14ac:dyDescent="0.25">
      <c r="R187" s="6" t="str">
        <f t="shared" si="2"/>
        <v/>
      </c>
      <c r="S187" s="6" t="str">
        <f ca="1">IFERROR(__xludf.dummyfunction("""COMPUTED_VALUE"""),"")</f>
        <v/>
      </c>
      <c r="T187" s="6" t="str">
        <f ca="1">IFERROR(__xludf.dummyfunction("""COMPUTED_VALUE"""),"")</f>
        <v/>
      </c>
    </row>
    <row r="188" spans="18:21" ht="22.5" hidden="1" customHeight="1" x14ac:dyDescent="0.25">
      <c r="R188" s="6" t="str">
        <f t="shared" si="2"/>
        <v/>
      </c>
      <c r="S188" s="6" t="str">
        <f ca="1">IFERROR(__xludf.dummyfunction("""COMPUTED_VALUE"""),"")</f>
        <v/>
      </c>
      <c r="T188" s="6" t="str">
        <f ca="1">IFERROR(__xludf.dummyfunction("""COMPUTED_VALUE"""),"")</f>
        <v/>
      </c>
    </row>
    <row r="189" spans="18:21" ht="22.5" hidden="1" customHeight="1" x14ac:dyDescent="0.25">
      <c r="R189" s="6" t="str">
        <f t="shared" si="2"/>
        <v/>
      </c>
      <c r="S189" s="6" t="str">
        <f ca="1">IFERROR(__xludf.dummyfunction("""COMPUTED_VALUE"""),"")</f>
        <v/>
      </c>
      <c r="T189" s="6" t="str">
        <f ca="1">IFERROR(__xludf.dummyfunction("""COMPUTED_VALUE"""),"")</f>
        <v/>
      </c>
    </row>
    <row r="190" spans="18:21" ht="22.5" hidden="1" customHeight="1" x14ac:dyDescent="0.25">
      <c r="R190" s="6" t="str">
        <f t="shared" si="2"/>
        <v/>
      </c>
      <c r="S190" s="6" t="str">
        <f ca="1">IFERROR(__xludf.dummyfunction("""COMPUTED_VALUE"""),"")</f>
        <v/>
      </c>
      <c r="T190" s="6" t="str">
        <f ca="1">IFERROR(__xludf.dummyfunction("""COMPUTED_VALUE"""),"")</f>
        <v/>
      </c>
    </row>
    <row r="191" spans="18:21" ht="22.5" hidden="1" customHeight="1" x14ac:dyDescent="0.25">
      <c r="R191" s="6" t="str">
        <f t="shared" si="2"/>
        <v/>
      </c>
      <c r="S191" s="6" t="str">
        <f ca="1">IFERROR(__xludf.dummyfunction("""COMPUTED_VALUE"""),"")</f>
        <v/>
      </c>
      <c r="T191" s="6" t="str">
        <f ca="1">IFERROR(__xludf.dummyfunction("""COMPUTED_VALUE"""),"")</f>
        <v/>
      </c>
    </row>
    <row r="192" spans="18:21" ht="22.5" hidden="1" customHeight="1" x14ac:dyDescent="0.25">
      <c r="R192" s="6" t="str">
        <f t="shared" si="2"/>
        <v/>
      </c>
      <c r="S192" s="6" t="str">
        <f ca="1">IFERROR(__xludf.dummyfunction("""COMPUTED_VALUE"""),"")</f>
        <v/>
      </c>
      <c r="T192" s="6" t="str">
        <f ca="1">IFERROR(__xludf.dummyfunction("""COMPUTED_VALUE"""),"")</f>
        <v/>
      </c>
    </row>
    <row r="193" spans="18:20" ht="22.5" hidden="1" customHeight="1" x14ac:dyDescent="0.25">
      <c r="R193" s="6" t="str">
        <f t="shared" si="2"/>
        <v/>
      </c>
      <c r="S193" s="6" t="str">
        <f ca="1">IFERROR(__xludf.dummyfunction("""COMPUTED_VALUE"""),"")</f>
        <v/>
      </c>
      <c r="T193" s="6" t="str">
        <f ca="1">IFERROR(__xludf.dummyfunction("""COMPUTED_VALUE"""),"")</f>
        <v/>
      </c>
    </row>
    <row r="194" spans="18:20" ht="22.5" hidden="1" customHeight="1" x14ac:dyDescent="0.25">
      <c r="R194" s="6" t="str">
        <f t="shared" ref="R194:R257" si="3">IF(A194="","",F194+G194+H194+I194+J194+L194)</f>
        <v/>
      </c>
      <c r="S194" s="6" t="str">
        <f ca="1">IFERROR(__xludf.dummyfunction("""COMPUTED_VALUE"""),"")</f>
        <v/>
      </c>
      <c r="T194" s="6" t="str">
        <f ca="1">IFERROR(__xludf.dummyfunction("""COMPUTED_VALUE"""),"")</f>
        <v/>
      </c>
    </row>
    <row r="195" spans="18:20" ht="22.5" hidden="1" customHeight="1" x14ac:dyDescent="0.25">
      <c r="R195" s="6" t="str">
        <f t="shared" si="3"/>
        <v/>
      </c>
      <c r="S195" s="6" t="str">
        <f ca="1">IFERROR(__xludf.dummyfunction("""COMPUTED_VALUE"""),"")</f>
        <v/>
      </c>
      <c r="T195" s="6" t="str">
        <f ca="1">IFERROR(__xludf.dummyfunction("""COMPUTED_VALUE"""),"")</f>
        <v/>
      </c>
    </row>
    <row r="196" spans="18:20" ht="22.5" hidden="1" customHeight="1" x14ac:dyDescent="0.25">
      <c r="R196" s="6" t="str">
        <f t="shared" si="3"/>
        <v/>
      </c>
      <c r="S196" s="6" t="str">
        <f ca="1">IFERROR(__xludf.dummyfunction("""COMPUTED_VALUE"""),"")</f>
        <v/>
      </c>
      <c r="T196" s="6" t="str">
        <f ca="1">IFERROR(__xludf.dummyfunction("""COMPUTED_VALUE"""),"")</f>
        <v/>
      </c>
    </row>
    <row r="197" spans="18:20" ht="22.5" hidden="1" customHeight="1" x14ac:dyDescent="0.25">
      <c r="R197" s="6" t="str">
        <f t="shared" si="3"/>
        <v/>
      </c>
      <c r="S197" s="6" t="str">
        <f ca="1">IFERROR(__xludf.dummyfunction("""COMPUTED_VALUE"""),"")</f>
        <v/>
      </c>
      <c r="T197" s="6" t="str">
        <f ca="1">IFERROR(__xludf.dummyfunction("""COMPUTED_VALUE"""),"")</f>
        <v/>
      </c>
    </row>
    <row r="198" spans="18:20" ht="22.5" hidden="1" customHeight="1" x14ac:dyDescent="0.25">
      <c r="R198" s="6" t="str">
        <f t="shared" si="3"/>
        <v/>
      </c>
      <c r="S198" s="6" t="str">
        <f ca="1">IFERROR(__xludf.dummyfunction("""COMPUTED_VALUE"""),"")</f>
        <v/>
      </c>
      <c r="T198" s="6" t="str">
        <f ca="1">IFERROR(__xludf.dummyfunction("""COMPUTED_VALUE"""),"")</f>
        <v/>
      </c>
    </row>
    <row r="199" spans="18:20" ht="22.5" hidden="1" customHeight="1" x14ac:dyDescent="0.25">
      <c r="R199" s="6" t="str">
        <f t="shared" si="3"/>
        <v/>
      </c>
      <c r="S199" s="6" t="str">
        <f ca="1">IFERROR(__xludf.dummyfunction("""COMPUTED_VALUE"""),"")</f>
        <v/>
      </c>
      <c r="T199" s="6" t="str">
        <f ca="1">IFERROR(__xludf.dummyfunction("""COMPUTED_VALUE"""),"")</f>
        <v/>
      </c>
    </row>
    <row r="200" spans="18:20" ht="22.5" hidden="1" customHeight="1" x14ac:dyDescent="0.25">
      <c r="R200" s="6" t="str">
        <f t="shared" si="3"/>
        <v/>
      </c>
      <c r="S200" s="6" t="str">
        <f ca="1">IFERROR(__xludf.dummyfunction("""COMPUTED_VALUE"""),"")</f>
        <v/>
      </c>
      <c r="T200" s="6" t="str">
        <f ca="1">IFERROR(__xludf.dummyfunction("""COMPUTED_VALUE"""),"")</f>
        <v/>
      </c>
    </row>
    <row r="201" spans="18:20" ht="22.5" hidden="1" customHeight="1" x14ac:dyDescent="0.25">
      <c r="R201" s="6" t="str">
        <f t="shared" si="3"/>
        <v/>
      </c>
      <c r="S201" s="6" t="str">
        <f ca="1">IFERROR(__xludf.dummyfunction("""COMPUTED_VALUE"""),"")</f>
        <v/>
      </c>
      <c r="T201" s="6" t="str">
        <f ca="1">IFERROR(__xludf.dummyfunction("""COMPUTED_VALUE"""),"")</f>
        <v/>
      </c>
    </row>
    <row r="202" spans="18:20" ht="22.5" hidden="1" customHeight="1" x14ac:dyDescent="0.25">
      <c r="R202" s="6" t="str">
        <f t="shared" si="3"/>
        <v/>
      </c>
      <c r="S202" s="6" t="str">
        <f ca="1">IFERROR(__xludf.dummyfunction("""COMPUTED_VALUE"""),"")</f>
        <v/>
      </c>
      <c r="T202" s="6" t="str">
        <f ca="1">IFERROR(__xludf.dummyfunction("""COMPUTED_VALUE"""),"")</f>
        <v/>
      </c>
    </row>
    <row r="203" spans="18:20" ht="22.5" hidden="1" customHeight="1" x14ac:dyDescent="0.25">
      <c r="R203" s="6" t="str">
        <f t="shared" si="3"/>
        <v/>
      </c>
      <c r="S203" s="6" t="str">
        <f ca="1">IFERROR(__xludf.dummyfunction("""COMPUTED_VALUE"""),"")</f>
        <v/>
      </c>
      <c r="T203" s="6" t="str">
        <f ca="1">IFERROR(__xludf.dummyfunction("""COMPUTED_VALUE"""),"")</f>
        <v/>
      </c>
    </row>
    <row r="204" spans="18:20" ht="22.5" hidden="1" customHeight="1" x14ac:dyDescent="0.25">
      <c r="R204" s="6" t="str">
        <f t="shared" si="3"/>
        <v/>
      </c>
      <c r="S204" s="6" t="str">
        <f ca="1">IFERROR(__xludf.dummyfunction("""COMPUTED_VALUE"""),"")</f>
        <v/>
      </c>
      <c r="T204" s="6" t="str">
        <f ca="1">IFERROR(__xludf.dummyfunction("""COMPUTED_VALUE"""),"")</f>
        <v/>
      </c>
    </row>
    <row r="205" spans="18:20" ht="22.5" hidden="1" customHeight="1" x14ac:dyDescent="0.25">
      <c r="R205" s="6" t="str">
        <f t="shared" si="3"/>
        <v/>
      </c>
      <c r="S205" s="6" t="str">
        <f ca="1">IFERROR(__xludf.dummyfunction("""COMPUTED_VALUE"""),"")</f>
        <v/>
      </c>
      <c r="T205" s="6" t="str">
        <f ca="1">IFERROR(__xludf.dummyfunction("""COMPUTED_VALUE"""),"")</f>
        <v/>
      </c>
    </row>
    <row r="206" spans="18:20" ht="22.5" hidden="1" customHeight="1" x14ac:dyDescent="0.25">
      <c r="R206" s="6" t="str">
        <f t="shared" si="3"/>
        <v/>
      </c>
      <c r="S206" s="6" t="str">
        <f ca="1">IFERROR(__xludf.dummyfunction("""COMPUTED_VALUE"""),"")</f>
        <v/>
      </c>
      <c r="T206" s="6" t="str">
        <f ca="1">IFERROR(__xludf.dummyfunction("""COMPUTED_VALUE"""),"")</f>
        <v/>
      </c>
    </row>
    <row r="207" spans="18:20" ht="22.5" hidden="1" customHeight="1" x14ac:dyDescent="0.25">
      <c r="R207" s="6" t="str">
        <f t="shared" si="3"/>
        <v/>
      </c>
      <c r="S207" s="6" t="str">
        <f ca="1">IFERROR(__xludf.dummyfunction("""COMPUTED_VALUE"""),"")</f>
        <v/>
      </c>
      <c r="T207" s="6" t="str">
        <f ca="1">IFERROR(__xludf.dummyfunction("""COMPUTED_VALUE"""),"")</f>
        <v/>
      </c>
    </row>
    <row r="208" spans="18:20" ht="22.5" hidden="1" customHeight="1" x14ac:dyDescent="0.25">
      <c r="R208" s="6" t="str">
        <f t="shared" si="3"/>
        <v/>
      </c>
      <c r="S208" s="6" t="str">
        <f ca="1">IFERROR(__xludf.dummyfunction("""COMPUTED_VALUE"""),"")</f>
        <v/>
      </c>
      <c r="T208" s="6" t="str">
        <f ca="1">IFERROR(__xludf.dummyfunction("""COMPUTED_VALUE"""),"")</f>
        <v/>
      </c>
    </row>
    <row r="209" spans="18:20" ht="22.5" hidden="1" customHeight="1" x14ac:dyDescent="0.25">
      <c r="R209" s="6" t="str">
        <f t="shared" si="3"/>
        <v/>
      </c>
      <c r="S209" s="6" t="str">
        <f ca="1">IFERROR(__xludf.dummyfunction("""COMPUTED_VALUE"""),"")</f>
        <v/>
      </c>
      <c r="T209" s="6" t="str">
        <f ca="1">IFERROR(__xludf.dummyfunction("""COMPUTED_VALUE"""),"")</f>
        <v/>
      </c>
    </row>
    <row r="210" spans="18:20" ht="22.5" hidden="1" customHeight="1" x14ac:dyDescent="0.25">
      <c r="R210" s="6" t="str">
        <f t="shared" si="3"/>
        <v/>
      </c>
      <c r="S210" s="6" t="str">
        <f ca="1">IFERROR(__xludf.dummyfunction("""COMPUTED_VALUE"""),"")</f>
        <v/>
      </c>
      <c r="T210" s="6" t="str">
        <f ca="1">IFERROR(__xludf.dummyfunction("""COMPUTED_VALUE"""),"")</f>
        <v/>
      </c>
    </row>
    <row r="211" spans="18:20" ht="22.5" hidden="1" customHeight="1" x14ac:dyDescent="0.25">
      <c r="R211" s="6" t="str">
        <f t="shared" si="3"/>
        <v/>
      </c>
      <c r="S211" s="6" t="str">
        <f ca="1">IFERROR(__xludf.dummyfunction("""COMPUTED_VALUE"""),"")</f>
        <v/>
      </c>
      <c r="T211" s="6" t="str">
        <f ca="1">IFERROR(__xludf.dummyfunction("""COMPUTED_VALUE"""),"")</f>
        <v/>
      </c>
    </row>
    <row r="212" spans="18:20" ht="22.5" hidden="1" customHeight="1" x14ac:dyDescent="0.25">
      <c r="R212" s="6" t="str">
        <f t="shared" si="3"/>
        <v/>
      </c>
      <c r="S212" s="6" t="str">
        <f ca="1">IFERROR(__xludf.dummyfunction("""COMPUTED_VALUE"""),"")</f>
        <v/>
      </c>
      <c r="T212" s="6" t="str">
        <f ca="1">IFERROR(__xludf.dummyfunction("""COMPUTED_VALUE"""),"")</f>
        <v/>
      </c>
    </row>
    <row r="213" spans="18:20" ht="22.5" hidden="1" customHeight="1" x14ac:dyDescent="0.25">
      <c r="R213" s="6" t="str">
        <f t="shared" si="3"/>
        <v/>
      </c>
      <c r="S213" s="6" t="str">
        <f ca="1">IFERROR(__xludf.dummyfunction("""COMPUTED_VALUE"""),"")</f>
        <v/>
      </c>
      <c r="T213" s="6" t="str">
        <f ca="1">IFERROR(__xludf.dummyfunction("""COMPUTED_VALUE"""),"")</f>
        <v/>
      </c>
    </row>
    <row r="214" spans="18:20" ht="22.5" hidden="1" customHeight="1" x14ac:dyDescent="0.25">
      <c r="R214" s="6" t="str">
        <f t="shared" si="3"/>
        <v/>
      </c>
      <c r="S214" s="6" t="str">
        <f ca="1">IFERROR(__xludf.dummyfunction("""COMPUTED_VALUE"""),"")</f>
        <v/>
      </c>
      <c r="T214" s="6" t="str">
        <f ca="1">IFERROR(__xludf.dummyfunction("""COMPUTED_VALUE"""),"")</f>
        <v/>
      </c>
    </row>
    <row r="215" spans="18:20" ht="22.5" hidden="1" customHeight="1" x14ac:dyDescent="0.25">
      <c r="R215" s="6" t="str">
        <f t="shared" si="3"/>
        <v/>
      </c>
      <c r="S215" s="6" t="str">
        <f ca="1">IFERROR(__xludf.dummyfunction("""COMPUTED_VALUE"""),"")</f>
        <v/>
      </c>
      <c r="T215" s="6" t="str">
        <f ca="1">IFERROR(__xludf.dummyfunction("""COMPUTED_VALUE"""),"")</f>
        <v/>
      </c>
    </row>
    <row r="216" spans="18:20" ht="22.5" hidden="1" customHeight="1" x14ac:dyDescent="0.25">
      <c r="R216" s="6" t="str">
        <f t="shared" si="3"/>
        <v/>
      </c>
      <c r="S216" s="6" t="str">
        <f ca="1">IFERROR(__xludf.dummyfunction("""COMPUTED_VALUE"""),"")</f>
        <v/>
      </c>
      <c r="T216" s="6" t="str">
        <f ca="1">IFERROR(__xludf.dummyfunction("""COMPUTED_VALUE"""),"")</f>
        <v/>
      </c>
    </row>
    <row r="217" spans="18:20" ht="22.5" hidden="1" customHeight="1" x14ac:dyDescent="0.25">
      <c r="R217" s="6" t="str">
        <f t="shared" si="3"/>
        <v/>
      </c>
      <c r="S217" s="6" t="str">
        <f ca="1">IFERROR(__xludf.dummyfunction("""COMPUTED_VALUE"""),"")</f>
        <v/>
      </c>
      <c r="T217" s="6" t="str">
        <f ca="1">IFERROR(__xludf.dummyfunction("""COMPUTED_VALUE"""),"")</f>
        <v/>
      </c>
    </row>
    <row r="218" spans="18:20" ht="22.5" hidden="1" customHeight="1" x14ac:dyDescent="0.25">
      <c r="R218" s="6" t="str">
        <f t="shared" si="3"/>
        <v/>
      </c>
      <c r="S218" s="6" t="str">
        <f ca="1">IFERROR(__xludf.dummyfunction("""COMPUTED_VALUE"""),"")</f>
        <v/>
      </c>
      <c r="T218" s="6" t="str">
        <f ca="1">IFERROR(__xludf.dummyfunction("""COMPUTED_VALUE"""),"")</f>
        <v/>
      </c>
    </row>
    <row r="219" spans="18:20" ht="22.5" hidden="1" customHeight="1" x14ac:dyDescent="0.25">
      <c r="R219" s="6" t="str">
        <f t="shared" si="3"/>
        <v/>
      </c>
      <c r="S219" s="6" t="str">
        <f ca="1">IFERROR(__xludf.dummyfunction("""COMPUTED_VALUE"""),"")</f>
        <v/>
      </c>
      <c r="T219" s="6" t="str">
        <f ca="1">IFERROR(__xludf.dummyfunction("""COMPUTED_VALUE"""),"")</f>
        <v/>
      </c>
    </row>
    <row r="220" spans="18:20" ht="22.5" hidden="1" customHeight="1" x14ac:dyDescent="0.25">
      <c r="R220" s="6" t="str">
        <f t="shared" si="3"/>
        <v/>
      </c>
      <c r="S220" s="6" t="str">
        <f ca="1">IFERROR(__xludf.dummyfunction("""COMPUTED_VALUE"""),"")</f>
        <v/>
      </c>
      <c r="T220" s="6" t="str">
        <f ca="1">IFERROR(__xludf.dummyfunction("""COMPUTED_VALUE"""),"")</f>
        <v/>
      </c>
    </row>
    <row r="221" spans="18:20" ht="22.5" hidden="1" customHeight="1" x14ac:dyDescent="0.25">
      <c r="R221" s="6" t="str">
        <f t="shared" si="3"/>
        <v/>
      </c>
      <c r="S221" s="6" t="str">
        <f ca="1">IFERROR(__xludf.dummyfunction("""COMPUTED_VALUE"""),"")</f>
        <v/>
      </c>
      <c r="T221" s="6" t="str">
        <f ca="1">IFERROR(__xludf.dummyfunction("""COMPUTED_VALUE"""),"")</f>
        <v/>
      </c>
    </row>
    <row r="222" spans="18:20" ht="22.5" hidden="1" customHeight="1" x14ac:dyDescent="0.25">
      <c r="R222" s="6" t="str">
        <f t="shared" si="3"/>
        <v/>
      </c>
      <c r="S222" s="6" t="str">
        <f ca="1">IFERROR(__xludf.dummyfunction("""COMPUTED_VALUE"""),"")</f>
        <v/>
      </c>
      <c r="T222" s="6" t="str">
        <f ca="1">IFERROR(__xludf.dummyfunction("""COMPUTED_VALUE"""),"")</f>
        <v/>
      </c>
    </row>
    <row r="223" spans="18:20" ht="22.5" hidden="1" customHeight="1" x14ac:dyDescent="0.25">
      <c r="R223" s="6" t="str">
        <f t="shared" si="3"/>
        <v/>
      </c>
      <c r="S223" s="6" t="str">
        <f ca="1">IFERROR(__xludf.dummyfunction("""COMPUTED_VALUE"""),"")</f>
        <v/>
      </c>
      <c r="T223" s="6" t="str">
        <f ca="1">IFERROR(__xludf.dummyfunction("""COMPUTED_VALUE"""),"")</f>
        <v/>
      </c>
    </row>
    <row r="224" spans="18:20" ht="22.5" hidden="1" customHeight="1" x14ac:dyDescent="0.25">
      <c r="R224" s="6" t="str">
        <f t="shared" si="3"/>
        <v/>
      </c>
      <c r="S224" s="6" t="str">
        <f ca="1">IFERROR(__xludf.dummyfunction("""COMPUTED_VALUE"""),"")</f>
        <v/>
      </c>
      <c r="T224" s="6" t="str">
        <f ca="1">IFERROR(__xludf.dummyfunction("""COMPUTED_VALUE"""),"")</f>
        <v/>
      </c>
    </row>
    <row r="225" spans="18:20" ht="22.5" hidden="1" customHeight="1" x14ac:dyDescent="0.25">
      <c r="R225" s="6" t="str">
        <f t="shared" si="3"/>
        <v/>
      </c>
      <c r="S225" s="6" t="str">
        <f ca="1">IFERROR(__xludf.dummyfunction("""COMPUTED_VALUE"""),"")</f>
        <v/>
      </c>
      <c r="T225" s="6" t="str">
        <f ca="1">IFERROR(__xludf.dummyfunction("""COMPUTED_VALUE"""),"")</f>
        <v/>
      </c>
    </row>
    <row r="226" spans="18:20" ht="22.5" hidden="1" customHeight="1" x14ac:dyDescent="0.25">
      <c r="R226" s="6" t="str">
        <f t="shared" si="3"/>
        <v/>
      </c>
      <c r="S226" s="6" t="str">
        <f ca="1">IFERROR(__xludf.dummyfunction("""COMPUTED_VALUE"""),"")</f>
        <v/>
      </c>
      <c r="T226" s="6" t="str">
        <f ca="1">IFERROR(__xludf.dummyfunction("""COMPUTED_VALUE"""),"")</f>
        <v/>
      </c>
    </row>
    <row r="227" spans="18:20" ht="22.5" hidden="1" customHeight="1" x14ac:dyDescent="0.25">
      <c r="R227" s="6" t="str">
        <f t="shared" si="3"/>
        <v/>
      </c>
      <c r="S227" s="6" t="str">
        <f ca="1">IFERROR(__xludf.dummyfunction("""COMPUTED_VALUE"""),"")</f>
        <v/>
      </c>
      <c r="T227" s="6" t="str">
        <f ca="1">IFERROR(__xludf.dummyfunction("""COMPUTED_VALUE"""),"")</f>
        <v/>
      </c>
    </row>
    <row r="228" spans="18:20" ht="22.5" hidden="1" customHeight="1" x14ac:dyDescent="0.25">
      <c r="R228" s="6" t="str">
        <f t="shared" si="3"/>
        <v/>
      </c>
      <c r="S228" s="6" t="str">
        <f ca="1">IFERROR(__xludf.dummyfunction("""COMPUTED_VALUE"""),"")</f>
        <v/>
      </c>
      <c r="T228" s="6" t="str">
        <f ca="1">IFERROR(__xludf.dummyfunction("""COMPUTED_VALUE"""),"")</f>
        <v/>
      </c>
    </row>
    <row r="229" spans="18:20" ht="13.8" hidden="1" x14ac:dyDescent="0.25">
      <c r="R229" s="6" t="str">
        <f t="shared" si="3"/>
        <v/>
      </c>
      <c r="S229" s="6" t="str">
        <f ca="1">IFERROR(__xludf.dummyfunction("""COMPUTED_VALUE"""),"")</f>
        <v/>
      </c>
      <c r="T229" s="6" t="str">
        <f ca="1">IFERROR(__xludf.dummyfunction("""COMPUTED_VALUE"""),"")</f>
        <v/>
      </c>
    </row>
    <row r="230" spans="18:20" ht="13.8" hidden="1" x14ac:dyDescent="0.25">
      <c r="R230" s="6" t="str">
        <f t="shared" si="3"/>
        <v/>
      </c>
      <c r="S230" s="6" t="str">
        <f ca="1">IFERROR(__xludf.dummyfunction("""COMPUTED_VALUE"""),"")</f>
        <v/>
      </c>
      <c r="T230" s="6" t="str">
        <f ca="1">IFERROR(__xludf.dummyfunction("""COMPUTED_VALUE"""),"")</f>
        <v/>
      </c>
    </row>
    <row r="231" spans="18:20" ht="13.8" hidden="1" x14ac:dyDescent="0.25">
      <c r="R231" s="6" t="str">
        <f t="shared" si="3"/>
        <v/>
      </c>
      <c r="S231" s="6" t="str">
        <f ca="1">IFERROR(__xludf.dummyfunction("""COMPUTED_VALUE"""),"")</f>
        <v/>
      </c>
      <c r="T231" s="6" t="str">
        <f ca="1">IFERROR(__xludf.dummyfunction("""COMPUTED_VALUE"""),"")</f>
        <v/>
      </c>
    </row>
    <row r="232" spans="18:20" ht="13.8" hidden="1" x14ac:dyDescent="0.25">
      <c r="R232" s="6" t="str">
        <f t="shared" si="3"/>
        <v/>
      </c>
      <c r="S232" s="6" t="str">
        <f ca="1">IFERROR(__xludf.dummyfunction("""COMPUTED_VALUE"""),"")</f>
        <v/>
      </c>
      <c r="T232" s="6" t="str">
        <f ca="1">IFERROR(__xludf.dummyfunction("""COMPUTED_VALUE"""),"")</f>
        <v/>
      </c>
    </row>
    <row r="233" spans="18:20" ht="13.8" hidden="1" x14ac:dyDescent="0.25">
      <c r="R233" s="6" t="str">
        <f t="shared" si="3"/>
        <v/>
      </c>
      <c r="S233" s="6" t="str">
        <f ca="1">IFERROR(__xludf.dummyfunction("""COMPUTED_VALUE"""),"")</f>
        <v/>
      </c>
      <c r="T233" s="6" t="str">
        <f ca="1">IFERROR(__xludf.dummyfunction("""COMPUTED_VALUE"""),"")</f>
        <v/>
      </c>
    </row>
    <row r="234" spans="18:20" ht="13.8" hidden="1" x14ac:dyDescent="0.25">
      <c r="R234" s="6" t="str">
        <f t="shared" si="3"/>
        <v/>
      </c>
      <c r="S234" s="6" t="str">
        <f ca="1">IFERROR(__xludf.dummyfunction("""COMPUTED_VALUE"""),"")</f>
        <v/>
      </c>
      <c r="T234" s="6" t="str">
        <f ca="1">IFERROR(__xludf.dummyfunction("""COMPUTED_VALUE"""),"")</f>
        <v/>
      </c>
    </row>
    <row r="235" spans="18:20" ht="13.8" hidden="1" x14ac:dyDescent="0.25">
      <c r="R235" s="6" t="str">
        <f t="shared" si="3"/>
        <v/>
      </c>
      <c r="S235" s="6" t="str">
        <f ca="1">IFERROR(__xludf.dummyfunction("""COMPUTED_VALUE"""),"")</f>
        <v/>
      </c>
      <c r="T235" s="6" t="str">
        <f ca="1">IFERROR(__xludf.dummyfunction("""COMPUTED_VALUE"""),"")</f>
        <v/>
      </c>
    </row>
    <row r="236" spans="18:20" ht="13.8" hidden="1" x14ac:dyDescent="0.25">
      <c r="R236" s="6" t="str">
        <f t="shared" si="3"/>
        <v/>
      </c>
      <c r="S236" s="6" t="str">
        <f ca="1">IFERROR(__xludf.dummyfunction("""COMPUTED_VALUE"""),"")</f>
        <v/>
      </c>
      <c r="T236" s="6" t="str">
        <f ca="1">IFERROR(__xludf.dummyfunction("""COMPUTED_VALUE"""),"")</f>
        <v/>
      </c>
    </row>
    <row r="237" spans="18:20" ht="13.8" hidden="1" x14ac:dyDescent="0.25">
      <c r="R237" s="6" t="str">
        <f t="shared" si="3"/>
        <v/>
      </c>
      <c r="S237" s="6" t="str">
        <f ca="1">IFERROR(__xludf.dummyfunction("""COMPUTED_VALUE"""),"")</f>
        <v/>
      </c>
      <c r="T237" s="6" t="str">
        <f ca="1">IFERROR(__xludf.dummyfunction("""COMPUTED_VALUE"""),"")</f>
        <v/>
      </c>
    </row>
    <row r="238" spans="18:20" ht="13.8" hidden="1" x14ac:dyDescent="0.25">
      <c r="R238" s="6" t="str">
        <f t="shared" si="3"/>
        <v/>
      </c>
      <c r="S238" s="6" t="str">
        <f ca="1">IFERROR(__xludf.dummyfunction("""COMPUTED_VALUE"""),"")</f>
        <v/>
      </c>
      <c r="T238" s="6" t="str">
        <f ca="1">IFERROR(__xludf.dummyfunction("""COMPUTED_VALUE"""),"")</f>
        <v/>
      </c>
    </row>
    <row r="239" spans="18:20" ht="13.8" hidden="1" x14ac:dyDescent="0.25">
      <c r="R239" s="6" t="str">
        <f t="shared" si="3"/>
        <v/>
      </c>
      <c r="S239" s="6" t="str">
        <f ca="1">IFERROR(__xludf.dummyfunction("""COMPUTED_VALUE"""),"")</f>
        <v/>
      </c>
      <c r="T239" s="6" t="str">
        <f ca="1">IFERROR(__xludf.dummyfunction("""COMPUTED_VALUE"""),"")</f>
        <v/>
      </c>
    </row>
    <row r="240" spans="18:20" ht="13.8" hidden="1" x14ac:dyDescent="0.25">
      <c r="R240" s="6" t="str">
        <f t="shared" si="3"/>
        <v/>
      </c>
      <c r="S240" s="6" t="str">
        <f ca="1">IFERROR(__xludf.dummyfunction("""COMPUTED_VALUE"""),"")</f>
        <v/>
      </c>
      <c r="T240" s="6" t="str">
        <f ca="1">IFERROR(__xludf.dummyfunction("""COMPUTED_VALUE"""),"")</f>
        <v/>
      </c>
    </row>
    <row r="241" spans="18:20" ht="13.8" hidden="1" x14ac:dyDescent="0.25">
      <c r="R241" s="6" t="str">
        <f t="shared" si="3"/>
        <v/>
      </c>
      <c r="S241" s="6" t="str">
        <f ca="1">IFERROR(__xludf.dummyfunction("""COMPUTED_VALUE"""),"")</f>
        <v/>
      </c>
      <c r="T241" s="6" t="str">
        <f ca="1">IFERROR(__xludf.dummyfunction("""COMPUTED_VALUE"""),"")</f>
        <v/>
      </c>
    </row>
    <row r="242" spans="18:20" ht="13.8" hidden="1" x14ac:dyDescent="0.25">
      <c r="R242" s="6" t="str">
        <f t="shared" si="3"/>
        <v/>
      </c>
      <c r="S242" s="6" t="str">
        <f ca="1">IFERROR(__xludf.dummyfunction("""COMPUTED_VALUE"""),"")</f>
        <v/>
      </c>
      <c r="T242" s="6" t="str">
        <f ca="1">IFERROR(__xludf.dummyfunction("""COMPUTED_VALUE"""),"")</f>
        <v/>
      </c>
    </row>
    <row r="243" spans="18:20" ht="13.8" hidden="1" x14ac:dyDescent="0.25">
      <c r="R243" s="6" t="str">
        <f t="shared" si="3"/>
        <v/>
      </c>
      <c r="S243" s="6" t="str">
        <f ca="1">IFERROR(__xludf.dummyfunction("""COMPUTED_VALUE"""),"")</f>
        <v/>
      </c>
      <c r="T243" s="6" t="str">
        <f ca="1">IFERROR(__xludf.dummyfunction("""COMPUTED_VALUE"""),"")</f>
        <v/>
      </c>
    </row>
    <row r="244" spans="18:20" ht="13.8" hidden="1" x14ac:dyDescent="0.25">
      <c r="R244" s="6" t="str">
        <f t="shared" si="3"/>
        <v/>
      </c>
      <c r="S244" s="6" t="str">
        <f ca="1">IFERROR(__xludf.dummyfunction("""COMPUTED_VALUE"""),"")</f>
        <v/>
      </c>
      <c r="T244" s="6" t="str">
        <f ca="1">IFERROR(__xludf.dummyfunction("""COMPUTED_VALUE"""),"")</f>
        <v/>
      </c>
    </row>
    <row r="245" spans="18:20" ht="13.8" hidden="1" x14ac:dyDescent="0.25">
      <c r="R245" s="6" t="str">
        <f t="shared" si="3"/>
        <v/>
      </c>
      <c r="S245" s="6" t="str">
        <f ca="1">IFERROR(__xludf.dummyfunction("""COMPUTED_VALUE"""),"")</f>
        <v/>
      </c>
      <c r="T245" s="6" t="str">
        <f ca="1">IFERROR(__xludf.dummyfunction("""COMPUTED_VALUE"""),"")</f>
        <v/>
      </c>
    </row>
    <row r="246" spans="18:20" ht="13.8" hidden="1" x14ac:dyDescent="0.25">
      <c r="R246" s="6" t="str">
        <f t="shared" si="3"/>
        <v/>
      </c>
      <c r="S246" s="6" t="str">
        <f ca="1">IFERROR(__xludf.dummyfunction("""COMPUTED_VALUE"""),"")</f>
        <v/>
      </c>
      <c r="T246" s="6" t="str">
        <f ca="1">IFERROR(__xludf.dummyfunction("""COMPUTED_VALUE"""),"")</f>
        <v/>
      </c>
    </row>
    <row r="247" spans="18:20" ht="13.8" hidden="1" x14ac:dyDescent="0.25">
      <c r="R247" s="6" t="str">
        <f t="shared" si="3"/>
        <v/>
      </c>
      <c r="S247" s="6" t="str">
        <f ca="1">IFERROR(__xludf.dummyfunction("""COMPUTED_VALUE"""),"")</f>
        <v/>
      </c>
      <c r="T247" s="6" t="str">
        <f ca="1">IFERROR(__xludf.dummyfunction("""COMPUTED_VALUE"""),"")</f>
        <v/>
      </c>
    </row>
    <row r="248" spans="18:20" ht="13.8" hidden="1" x14ac:dyDescent="0.25">
      <c r="R248" s="6" t="str">
        <f t="shared" si="3"/>
        <v/>
      </c>
      <c r="S248" s="6" t="str">
        <f ca="1">IFERROR(__xludf.dummyfunction("""COMPUTED_VALUE"""),"")</f>
        <v/>
      </c>
      <c r="T248" s="6" t="str">
        <f ca="1">IFERROR(__xludf.dummyfunction("""COMPUTED_VALUE"""),"")</f>
        <v/>
      </c>
    </row>
    <row r="249" spans="18:20" ht="13.8" hidden="1" x14ac:dyDescent="0.25">
      <c r="R249" s="6" t="str">
        <f t="shared" si="3"/>
        <v/>
      </c>
      <c r="S249" s="6" t="str">
        <f ca="1">IFERROR(__xludf.dummyfunction("""COMPUTED_VALUE"""),"")</f>
        <v/>
      </c>
      <c r="T249" s="6" t="str">
        <f ca="1">IFERROR(__xludf.dummyfunction("""COMPUTED_VALUE"""),"")</f>
        <v/>
      </c>
    </row>
    <row r="250" spans="18:20" ht="13.8" hidden="1" x14ac:dyDescent="0.25">
      <c r="R250" s="6" t="str">
        <f t="shared" si="3"/>
        <v/>
      </c>
      <c r="S250" s="6" t="str">
        <f ca="1">IFERROR(__xludf.dummyfunction("""COMPUTED_VALUE"""),"")</f>
        <v/>
      </c>
      <c r="T250" s="6" t="str">
        <f ca="1">IFERROR(__xludf.dummyfunction("""COMPUTED_VALUE"""),"")</f>
        <v/>
      </c>
    </row>
    <row r="251" spans="18:20" ht="13.8" hidden="1" x14ac:dyDescent="0.25">
      <c r="R251" s="6" t="str">
        <f t="shared" si="3"/>
        <v/>
      </c>
      <c r="S251" s="6" t="str">
        <f ca="1">IFERROR(__xludf.dummyfunction("""COMPUTED_VALUE"""),"")</f>
        <v/>
      </c>
      <c r="T251" s="6" t="str">
        <f ca="1">IFERROR(__xludf.dummyfunction("""COMPUTED_VALUE"""),"")</f>
        <v/>
      </c>
    </row>
    <row r="252" spans="18:20" ht="13.8" hidden="1" x14ac:dyDescent="0.25">
      <c r="R252" s="6" t="str">
        <f t="shared" si="3"/>
        <v/>
      </c>
      <c r="S252" s="6" t="str">
        <f ca="1">IFERROR(__xludf.dummyfunction("""COMPUTED_VALUE"""),"")</f>
        <v/>
      </c>
      <c r="T252" s="6" t="str">
        <f ca="1">IFERROR(__xludf.dummyfunction("""COMPUTED_VALUE"""),"")</f>
        <v/>
      </c>
    </row>
    <row r="253" spans="18:20" ht="13.8" hidden="1" x14ac:dyDescent="0.25">
      <c r="R253" s="6" t="str">
        <f t="shared" si="3"/>
        <v/>
      </c>
      <c r="S253" s="6" t="str">
        <f ca="1">IFERROR(__xludf.dummyfunction("""COMPUTED_VALUE"""),"")</f>
        <v/>
      </c>
      <c r="T253" s="6" t="str">
        <f ca="1">IFERROR(__xludf.dummyfunction("""COMPUTED_VALUE"""),"")</f>
        <v/>
      </c>
    </row>
    <row r="254" spans="18:20" ht="13.8" hidden="1" x14ac:dyDescent="0.25">
      <c r="R254" s="6" t="str">
        <f t="shared" si="3"/>
        <v/>
      </c>
      <c r="S254" s="6" t="str">
        <f ca="1">IFERROR(__xludf.dummyfunction("""COMPUTED_VALUE"""),"")</f>
        <v/>
      </c>
      <c r="T254" s="6" t="str">
        <f ca="1">IFERROR(__xludf.dummyfunction("""COMPUTED_VALUE"""),"")</f>
        <v/>
      </c>
    </row>
    <row r="255" spans="18:20" ht="13.8" hidden="1" x14ac:dyDescent="0.25">
      <c r="R255" s="6" t="str">
        <f t="shared" si="3"/>
        <v/>
      </c>
      <c r="S255" s="6" t="str">
        <f ca="1">IFERROR(__xludf.dummyfunction("""COMPUTED_VALUE"""),"")</f>
        <v/>
      </c>
      <c r="T255" s="6" t="str">
        <f ca="1">IFERROR(__xludf.dummyfunction("""COMPUTED_VALUE"""),"")</f>
        <v/>
      </c>
    </row>
    <row r="256" spans="18:20" ht="13.8" hidden="1" x14ac:dyDescent="0.25">
      <c r="R256" s="6" t="str">
        <f t="shared" si="3"/>
        <v/>
      </c>
      <c r="S256" s="6" t="str">
        <f ca="1">IFERROR(__xludf.dummyfunction("""COMPUTED_VALUE"""),"")</f>
        <v/>
      </c>
      <c r="T256" s="6" t="str">
        <f ca="1">IFERROR(__xludf.dummyfunction("""COMPUTED_VALUE"""),"")</f>
        <v/>
      </c>
    </row>
    <row r="257" spans="18:20" ht="13.8" hidden="1" x14ac:dyDescent="0.25">
      <c r="R257" s="6" t="str">
        <f t="shared" si="3"/>
        <v/>
      </c>
      <c r="S257" s="6" t="str">
        <f ca="1">IFERROR(__xludf.dummyfunction("""COMPUTED_VALUE"""),"")</f>
        <v/>
      </c>
      <c r="T257" s="6" t="str">
        <f ca="1">IFERROR(__xludf.dummyfunction("""COMPUTED_VALUE"""),"")</f>
        <v/>
      </c>
    </row>
    <row r="258" spans="18:20" ht="13.8" hidden="1" x14ac:dyDescent="0.25">
      <c r="R258" s="6" t="str">
        <f t="shared" ref="R258:R263" si="4">IF(A258="","",F258+G258+H258+I258+J258+L258)</f>
        <v/>
      </c>
      <c r="S258" s="6" t="str">
        <f ca="1">IFERROR(__xludf.dummyfunction("""COMPUTED_VALUE"""),"")</f>
        <v/>
      </c>
      <c r="T258" s="6" t="str">
        <f ca="1">IFERROR(__xludf.dummyfunction("""COMPUTED_VALUE"""),"")</f>
        <v/>
      </c>
    </row>
    <row r="259" spans="18:20" ht="13.8" hidden="1" x14ac:dyDescent="0.25">
      <c r="R259" s="6" t="str">
        <f t="shared" si="4"/>
        <v/>
      </c>
      <c r="S259" s="6" t="str">
        <f ca="1">IFERROR(__xludf.dummyfunction("""COMPUTED_VALUE"""),"")</f>
        <v/>
      </c>
      <c r="T259" s="6" t="str">
        <f ca="1">IFERROR(__xludf.dummyfunction("""COMPUTED_VALUE"""),"")</f>
        <v/>
      </c>
    </row>
    <row r="260" spans="18:20" ht="13.8" hidden="1" x14ac:dyDescent="0.25">
      <c r="R260" s="6" t="str">
        <f t="shared" si="4"/>
        <v/>
      </c>
      <c r="S260" s="6" t="str">
        <f ca="1">IFERROR(__xludf.dummyfunction("""COMPUTED_VALUE"""),"")</f>
        <v/>
      </c>
      <c r="T260" s="6" t="str">
        <f ca="1">IFERROR(__xludf.dummyfunction("""COMPUTED_VALUE"""),"")</f>
        <v/>
      </c>
    </row>
    <row r="261" spans="18:20" ht="13.8" hidden="1" x14ac:dyDescent="0.25">
      <c r="R261" s="6" t="str">
        <f t="shared" si="4"/>
        <v/>
      </c>
      <c r="S261" s="6" t="str">
        <f ca="1">IFERROR(__xludf.dummyfunction("""COMPUTED_VALUE"""),"")</f>
        <v/>
      </c>
      <c r="T261" s="6" t="str">
        <f ca="1">IFERROR(__xludf.dummyfunction("""COMPUTED_VALUE"""),"")</f>
        <v/>
      </c>
    </row>
    <row r="262" spans="18:20" ht="13.8" hidden="1" x14ac:dyDescent="0.25">
      <c r="R262" s="6" t="str">
        <f t="shared" si="4"/>
        <v/>
      </c>
      <c r="S262" s="6" t="str">
        <f ca="1">IFERROR(__xludf.dummyfunction("""COMPUTED_VALUE"""),"")</f>
        <v/>
      </c>
      <c r="T262" s="6" t="str">
        <f ca="1">IFERROR(__xludf.dummyfunction("""COMPUTED_VALUE"""),"")</f>
        <v/>
      </c>
    </row>
    <row r="263" spans="18:20" ht="13.8" hidden="1" x14ac:dyDescent="0.25">
      <c r="R263" s="6" t="str">
        <f t="shared" si="4"/>
        <v/>
      </c>
      <c r="S263" s="6" t="str">
        <f ca="1">IFERROR(__xludf.dummyfunction("""COMPUTED_VALUE"""),"")</f>
        <v/>
      </c>
      <c r="T263" s="6" t="str">
        <f ca="1">IFERROR(__xludf.dummyfunction("""COMPUTED_VALUE"""),"")</f>
        <v/>
      </c>
    </row>
  </sheetData>
  <pageMargins left="0.74791666666666701" right="0.74791666666666701" top="0.98402777777777795" bottom="0.9840277777777779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1000"/>
  <sheetViews>
    <sheetView zoomScaleNormal="100" workbookViewId="0"/>
  </sheetViews>
  <sheetFormatPr defaultColWidth="12.6640625" defaultRowHeight="15.75" customHeight="1" x14ac:dyDescent="0.25"/>
  <sheetData>
    <row r="1" spans="1:11" x14ac:dyDescent="0.25">
      <c r="A1" s="7" t="s">
        <v>660</v>
      </c>
      <c r="B1" s="7" t="s">
        <v>661</v>
      </c>
      <c r="C1" s="7" t="s">
        <v>662</v>
      </c>
      <c r="D1" s="7" t="s">
        <v>663</v>
      </c>
      <c r="E1" s="7" t="s">
        <v>664</v>
      </c>
      <c r="F1" s="7" t="s">
        <v>665</v>
      </c>
      <c r="G1" s="7" t="s">
        <v>666</v>
      </c>
      <c r="H1" s="6"/>
      <c r="I1" s="7" t="s">
        <v>661</v>
      </c>
      <c r="J1" s="7" t="s">
        <v>667</v>
      </c>
      <c r="K1" s="7" t="s">
        <v>668</v>
      </c>
    </row>
    <row r="2" spans="1:11" x14ac:dyDescent="0.25">
      <c r="A2" s="6" t="str">
        <f ca="1">IFERROR(__xludf.dummyfunction("IFERROR(SORT(UNIQUE(FILTER(#REF!,#REF!&lt;&gt;""""))),)"),"")</f>
        <v/>
      </c>
      <c r="B2" s="6" t="str">
        <f t="array" aca="1" ref="B2" ca="1">IF(A2="","",IFERROR(INDEX('Form Responses 1'!U:U,MATCH(A2,#REF!,0)),"Chưa có"))</f>
        <v/>
      </c>
      <c r="C2" s="6" t="str">
        <f ca="1">IF(A2="","",COUNTIF(#REF!,A2))</f>
        <v/>
      </c>
      <c r="D2" s="6" t="str">
        <f ca="1">IF(A2="","",COUNTIF(#REF!,A2))</f>
        <v/>
      </c>
      <c r="E2" s="6" t="str">
        <f t="shared" ref="E2:E41" ca="1" si="0">IF(A2="","",0)</f>
        <v/>
      </c>
      <c r="F2" s="6" t="str">
        <f t="shared" ref="F2:F41" ca="1" si="1">IF(A2="","",ROUND(D2+E2,1))</f>
        <v/>
      </c>
      <c r="G2" s="6" t="str">
        <f t="shared" ref="G2:G41" ca="1" si="2">IF(F2="","",RANK(F2,$F$2:$F$50,0))</f>
        <v/>
      </c>
      <c r="H2" s="6"/>
      <c r="I2" s="6" t="str">
        <f ca="1">IFERROR(__xludf.dummyfunction("IFERROR(SORT(UNIQUE(FILTER('Form Responses 1'!U2:U1057,'Form Responses 1'!U2:U1057&lt;&gt;""""))),)"),"Zone 1")</f>
        <v>Zone 1</v>
      </c>
      <c r="J2" s="6" t="str">
        <f ca="1">IF(I2="","",IFERROR(INDEX($A$2:$A$50,MATCH(_xludf.maxifs($D$2:$D$50,$B$2:$B$50,I2),$D$2:$D$50,0)),"Chưa có phiếu"))</f>
        <v>Chưa có phiếu</v>
      </c>
      <c r="K2" s="6">
        <f ca="1">IF(I2="","",IFERROR(_xludf.maxifs($D$2:$D$50,$B$2:$B$50,I2),0))</f>
        <v>0</v>
      </c>
    </row>
    <row r="3" spans="1:11" x14ac:dyDescent="0.25">
      <c r="A3" s="6"/>
      <c r="B3" s="6" t="str">
        <f t="array" ref="B3">IF(A3="","",IFERROR(INDEX('Form Responses 1'!U:U,MATCH(A3,#REF!,0)),"Chưa có"))</f>
        <v/>
      </c>
      <c r="C3" s="6" t="str">
        <f>IF(A3="","",COUNTIF(#REF!,A3))</f>
        <v/>
      </c>
      <c r="D3" s="6" t="str">
        <f>IF(A3="","",COUNTIF(#REF!,A3))</f>
        <v/>
      </c>
      <c r="E3" s="6" t="str">
        <f t="shared" si="0"/>
        <v/>
      </c>
      <c r="F3" s="6" t="str">
        <f t="shared" si="1"/>
        <v/>
      </c>
      <c r="G3" s="6" t="str">
        <f t="shared" si="2"/>
        <v/>
      </c>
      <c r="H3" s="6"/>
      <c r="I3" s="6" t="str">
        <f ca="1">IFERROR(__xludf.dummyfunction("""COMPUTED_VALUE"""),"Zone 2")</f>
        <v>Zone 2</v>
      </c>
      <c r="J3" s="6" t="str">
        <f ca="1">IF(I3="","",IFERROR(INDEX($A$2:$A$50,MATCH(_xludf.maxifs($D$2:$D$50,$B$2:$B$50,I3),$D$2:$D$50,0)),"Chưa có phiếu"))</f>
        <v>Chưa có phiếu</v>
      </c>
      <c r="K3" s="6">
        <f ca="1">IF(I3="","",IFERROR(_xludf.maxifs($D$2:$D$50,$B$2:$B$50,I3),0))</f>
        <v>0</v>
      </c>
    </row>
    <row r="4" spans="1:11" x14ac:dyDescent="0.25">
      <c r="A4" s="6"/>
      <c r="B4" s="6" t="str">
        <f t="array" ref="B4">IF(A4="","",IFERROR(INDEX('Form Responses 1'!U:U,MATCH(A4,#REF!,0)),"Chưa có"))</f>
        <v/>
      </c>
      <c r="C4" s="6" t="str">
        <f>IF(A4="","",COUNTIF(#REF!,A4))</f>
        <v/>
      </c>
      <c r="D4" s="6" t="str">
        <f>IF(A4="","",COUNTIF(#REF!,A4))</f>
        <v/>
      </c>
      <c r="E4" s="6" t="str">
        <f t="shared" si="0"/>
        <v/>
      </c>
      <c r="F4" s="6" t="str">
        <f t="shared" si="1"/>
        <v/>
      </c>
      <c r="G4" s="6" t="str">
        <f t="shared" si="2"/>
        <v/>
      </c>
      <c r="H4" s="6"/>
      <c r="I4" s="6" t="str">
        <f ca="1">IFERROR(__xludf.dummyfunction("""COMPUTED_VALUE"""),"Zone 3")</f>
        <v>Zone 3</v>
      </c>
      <c r="J4" s="6" t="str">
        <f ca="1">IF(I4="","",IFERROR(INDEX($A$2:$A$50,MATCH(_xludf.maxifs($D$2:$D$50,$B$2:$B$50,I4),$D$2:$D$50,0)),"Chưa có phiếu"))</f>
        <v>Chưa có phiếu</v>
      </c>
      <c r="K4" s="6">
        <f ca="1">IF(I4="","",IFERROR(_xludf.maxifs($D$2:$D$50,$B$2:$B$50,I4),0))</f>
        <v>0</v>
      </c>
    </row>
    <row r="5" spans="1:11" x14ac:dyDescent="0.25">
      <c r="A5" s="6"/>
      <c r="B5" s="6" t="str">
        <f t="array" ref="B5">IF(A5="","",IFERROR(INDEX('Form Responses 1'!U:U,MATCH(A5,#REF!,0)),"Chưa có"))</f>
        <v/>
      </c>
      <c r="C5" s="6" t="str">
        <f>IF(A5="","",COUNTIF(#REF!,A5))</f>
        <v/>
      </c>
      <c r="D5" s="6" t="str">
        <f>IF(A5="","",COUNTIF(#REF!,A5))</f>
        <v/>
      </c>
      <c r="E5" s="6" t="str">
        <f t="shared" si="0"/>
        <v/>
      </c>
      <c r="F5" s="6" t="str">
        <f t="shared" si="1"/>
        <v/>
      </c>
      <c r="G5" s="6" t="str">
        <f t="shared" si="2"/>
        <v/>
      </c>
      <c r="H5" s="6"/>
      <c r="I5" s="6" t="str">
        <f ca="1">IFERROR(__xludf.dummyfunction("""COMPUTED_VALUE"""),"Zone 4")</f>
        <v>Zone 4</v>
      </c>
      <c r="J5" s="6" t="str">
        <f ca="1">IF(I5="","",IFERROR(INDEX($A$2:$A$50,MATCH(_xludf.maxifs($D$2:$D$50,$B$2:$B$50,I5),$D$2:$D$50,0)),"Chưa có phiếu"))</f>
        <v>Chưa có phiếu</v>
      </c>
      <c r="K5" s="6">
        <f ca="1">IF(I5="","",IFERROR(_xludf.maxifs($D$2:$D$50,$B$2:$B$50,I5),0))</f>
        <v>0</v>
      </c>
    </row>
    <row r="6" spans="1:11" x14ac:dyDescent="0.25">
      <c r="A6" s="6"/>
      <c r="B6" s="6" t="str">
        <f t="array" ref="B6">IF(A6="","",IFERROR(INDEX('Form Responses 1'!U:U,MATCH(A6,#REF!,0)),"Chưa có"))</f>
        <v/>
      </c>
      <c r="C6" s="6" t="str">
        <f>IF(A6="","",COUNTIF(#REF!,A6))</f>
        <v/>
      </c>
      <c r="D6" s="6" t="str">
        <f>IF(A6="","",COUNTIF(#REF!,A6))</f>
        <v/>
      </c>
      <c r="E6" s="6" t="str">
        <f t="shared" si="0"/>
        <v/>
      </c>
      <c r="F6" s="6" t="str">
        <f t="shared" si="1"/>
        <v/>
      </c>
      <c r="G6" s="6" t="str">
        <f t="shared" si="2"/>
        <v/>
      </c>
      <c r="H6" s="6"/>
      <c r="I6" s="6" t="str">
        <f ca="1">IFERROR(__xludf.dummyfunction("""COMPUTED_VALUE"""),"Zone 5")</f>
        <v>Zone 5</v>
      </c>
      <c r="J6" s="6" t="str">
        <f ca="1">IF(I6="","",IFERROR(INDEX($A$2:$A$50,MATCH(_xludf.maxifs($D$2:$D$50,$B$2:$B$50,I6),$D$2:$D$50,0)),"Chưa có phiếu"))</f>
        <v>Chưa có phiếu</v>
      </c>
      <c r="K6" s="6">
        <f ca="1">IF(I6="","",IFERROR(_xludf.maxifs($D$2:$D$50,$B$2:$B$50,I6),0))</f>
        <v>0</v>
      </c>
    </row>
    <row r="7" spans="1:11" x14ac:dyDescent="0.25">
      <c r="A7" s="6"/>
      <c r="B7" s="6" t="str">
        <f t="array" ref="B7">IF(A7="","",IFERROR(INDEX('Form Responses 1'!U:U,MATCH(A7,#REF!,0)),"Chưa có"))</f>
        <v/>
      </c>
      <c r="C7" s="6" t="str">
        <f>IF(A7="","",COUNTIF(#REF!,A7))</f>
        <v/>
      </c>
      <c r="D7" s="6" t="str">
        <f>IF(A7="","",COUNTIF(#REF!,A7))</f>
        <v/>
      </c>
      <c r="E7" s="6" t="str">
        <f t="shared" si="0"/>
        <v/>
      </c>
      <c r="F7" s="6" t="str">
        <f t="shared" si="1"/>
        <v/>
      </c>
      <c r="G7" s="6" t="str">
        <f t="shared" si="2"/>
        <v/>
      </c>
      <c r="H7" s="6"/>
      <c r="I7" s="6" t="str">
        <f ca="1">IFERROR(__xludf.dummyfunction("""COMPUTED_VALUE"""),"Zone 6")</f>
        <v>Zone 6</v>
      </c>
      <c r="J7" s="6" t="str">
        <f ca="1">IF(I7="","",IFERROR(INDEX($A$2:$A$50,MATCH(_xludf.maxifs($D$2:$D$50,$B$2:$B$50,I7),$D$2:$D$50,0)),"Chưa có phiếu"))</f>
        <v>Chưa có phiếu</v>
      </c>
      <c r="K7" s="6">
        <f ca="1">IF(I7="","",IFERROR(_xludf.maxifs($D$2:$D$50,$B$2:$B$50,I7),0))</f>
        <v>0</v>
      </c>
    </row>
    <row r="8" spans="1:11" x14ac:dyDescent="0.25">
      <c r="A8" s="6"/>
      <c r="B8" s="6" t="str">
        <f t="array" ref="B8">IF(A8="","",IFERROR(INDEX('Form Responses 1'!U:U,MATCH(A8,#REF!,0)),"Chưa có"))</f>
        <v/>
      </c>
      <c r="C8" s="6" t="str">
        <f>IF(A8="","",COUNTIF(#REF!,A8))</f>
        <v/>
      </c>
      <c r="D8" s="6" t="str">
        <f>IF(A8="","",COUNTIF(#REF!,A8))</f>
        <v/>
      </c>
      <c r="E8" s="6" t="str">
        <f t="shared" si="0"/>
        <v/>
      </c>
      <c r="F8" s="6" t="str">
        <f t="shared" si="1"/>
        <v/>
      </c>
      <c r="G8" s="6" t="str">
        <f t="shared" si="2"/>
        <v/>
      </c>
      <c r="H8" s="6"/>
      <c r="I8" s="6"/>
      <c r="J8" s="6" t="str">
        <f>IF(I8="","",IFERROR(INDEX($A$2:$A$50,MATCH(_xludf.maxifs($D$2:$D$50,$B$2:$B$50,I8),$D$2:$D$50,0)),"Chưa có phiếu"))</f>
        <v/>
      </c>
      <c r="K8" s="6" t="str">
        <f>IF(I8="","",IFERROR(_xludf.maxifs($D$2:$D$50,$B$2:$B$50,I8),0))</f>
        <v/>
      </c>
    </row>
    <row r="9" spans="1:11" x14ac:dyDescent="0.25">
      <c r="A9" s="6"/>
      <c r="B9" s="6" t="str">
        <f t="array" ref="B9">IF(A9="","",IFERROR(INDEX('Form Responses 1'!U:U,MATCH(A9,#REF!,0)),"Chưa có"))</f>
        <v/>
      </c>
      <c r="C9" s="6" t="str">
        <f>IF(A9="","",COUNTIF(#REF!,A9))</f>
        <v/>
      </c>
      <c r="D9" s="6" t="str">
        <f>IF(A9="","",COUNTIF(#REF!,A9))</f>
        <v/>
      </c>
      <c r="E9" s="6" t="str">
        <f t="shared" si="0"/>
        <v/>
      </c>
      <c r="F9" s="6" t="str">
        <f t="shared" si="1"/>
        <v/>
      </c>
      <c r="G9" s="6" t="str">
        <f t="shared" si="2"/>
        <v/>
      </c>
      <c r="H9" s="6"/>
      <c r="I9" s="6"/>
      <c r="J9" s="6"/>
      <c r="K9" s="6"/>
    </row>
    <row r="10" spans="1:11" x14ac:dyDescent="0.25">
      <c r="A10" s="6"/>
      <c r="B10" s="6" t="str">
        <f t="array" ref="B10">IF(A10="","",IFERROR(INDEX('Form Responses 1'!U:U,MATCH(A10,#REF!,0)),"Chưa có"))</f>
        <v/>
      </c>
      <c r="C10" s="6" t="str">
        <f>IF(A10="","",COUNTIF(#REF!,A10))</f>
        <v/>
      </c>
      <c r="D10" s="6" t="str">
        <f>IF(A10="","",COUNTIF(#REF!,A10))</f>
        <v/>
      </c>
      <c r="E10" s="6" t="str">
        <f t="shared" si="0"/>
        <v/>
      </c>
      <c r="F10" s="6" t="str">
        <f t="shared" si="1"/>
        <v/>
      </c>
      <c r="G10" s="6" t="str">
        <f t="shared" si="2"/>
        <v/>
      </c>
      <c r="H10" s="6"/>
      <c r="I10" s="6"/>
      <c r="J10" s="6"/>
      <c r="K10" s="6"/>
    </row>
    <row r="11" spans="1:11" x14ac:dyDescent="0.25">
      <c r="A11" s="6"/>
      <c r="B11" s="6" t="str">
        <f t="array" ref="B11">IF(A11="","",IFERROR(INDEX('Form Responses 1'!U:U,MATCH(A11,#REF!,0)),"Chưa có"))</f>
        <v/>
      </c>
      <c r="C11" s="6" t="str">
        <f>IF(A11="","",COUNTIF(#REF!,A11))</f>
        <v/>
      </c>
      <c r="D11" s="6" t="str">
        <f>IF(A11="","",COUNTIF(#REF!,A11))</f>
        <v/>
      </c>
      <c r="E11" s="6" t="str">
        <f t="shared" si="0"/>
        <v/>
      </c>
      <c r="F11" s="6" t="str">
        <f t="shared" si="1"/>
        <v/>
      </c>
      <c r="G11" s="6" t="str">
        <f t="shared" si="2"/>
        <v/>
      </c>
      <c r="H11" s="6"/>
      <c r="I11" s="6"/>
      <c r="J11" s="6"/>
      <c r="K11" s="6"/>
    </row>
    <row r="12" spans="1:11" x14ac:dyDescent="0.25">
      <c r="A12" s="6"/>
      <c r="B12" s="6" t="str">
        <f t="array" ref="B12">IF(A12="","",IFERROR(INDEX('Form Responses 1'!U:U,MATCH(A12,#REF!,0)),"Chưa có"))</f>
        <v/>
      </c>
      <c r="C12" s="6" t="str">
        <f>IF(A12="","",COUNTIF(#REF!,A12))</f>
        <v/>
      </c>
      <c r="D12" s="6" t="str">
        <f>IF(A12="","",COUNTIF(#REF!,A12))</f>
        <v/>
      </c>
      <c r="E12" s="6" t="str">
        <f t="shared" si="0"/>
        <v/>
      </c>
      <c r="F12" s="6" t="str">
        <f t="shared" si="1"/>
        <v/>
      </c>
      <c r="G12" s="6" t="str">
        <f t="shared" si="2"/>
        <v/>
      </c>
      <c r="H12" s="6"/>
      <c r="I12" s="6"/>
      <c r="J12" s="6"/>
      <c r="K12" s="6"/>
    </row>
    <row r="13" spans="1:11" x14ac:dyDescent="0.25">
      <c r="A13" s="6"/>
      <c r="B13" s="6" t="str">
        <f t="array" ref="B13">IF(A13="","",IFERROR(INDEX('Form Responses 1'!U:U,MATCH(A13,#REF!,0)),"Chưa có"))</f>
        <v/>
      </c>
      <c r="C13" s="6" t="str">
        <f>IF(A13="","",COUNTIF(#REF!,A13))</f>
        <v/>
      </c>
      <c r="D13" s="6" t="str">
        <f>IF(A13="","",COUNTIF(#REF!,A13))</f>
        <v/>
      </c>
      <c r="E13" s="6" t="str">
        <f t="shared" si="0"/>
        <v/>
      </c>
      <c r="F13" s="6" t="str">
        <f t="shared" si="1"/>
        <v/>
      </c>
      <c r="G13" s="6" t="str">
        <f t="shared" si="2"/>
        <v/>
      </c>
      <c r="H13" s="6"/>
      <c r="I13" s="6"/>
      <c r="J13" s="6"/>
      <c r="K13" s="6"/>
    </row>
    <row r="14" spans="1:11" x14ac:dyDescent="0.25">
      <c r="A14" s="6"/>
      <c r="B14" s="6" t="str">
        <f t="array" ref="B14">IF(A14="","",IFERROR(INDEX('Form Responses 1'!U:U,MATCH(A14,#REF!,0)),"Chưa có"))</f>
        <v/>
      </c>
      <c r="C14" s="6" t="str">
        <f>IF(A14="","",COUNTIF(#REF!,A14))</f>
        <v/>
      </c>
      <c r="D14" s="6" t="str">
        <f>IF(A14="","",COUNTIF(#REF!,A14))</f>
        <v/>
      </c>
      <c r="E14" s="6" t="str">
        <f t="shared" si="0"/>
        <v/>
      </c>
      <c r="F14" s="6" t="str">
        <f t="shared" si="1"/>
        <v/>
      </c>
      <c r="G14" s="6" t="str">
        <f t="shared" si="2"/>
        <v/>
      </c>
      <c r="H14" s="6"/>
      <c r="I14" s="6"/>
      <c r="J14" s="6"/>
      <c r="K14" s="6"/>
    </row>
    <row r="15" spans="1:11" x14ac:dyDescent="0.25">
      <c r="A15" s="6"/>
      <c r="B15" s="6" t="str">
        <f t="array" ref="B15">IF(A15="","",IFERROR(INDEX('Form Responses 1'!U:U,MATCH(A15,#REF!,0)),"Chưa có"))</f>
        <v/>
      </c>
      <c r="C15" s="6" t="str">
        <f>IF(A15="","",COUNTIF(#REF!,A15))</f>
        <v/>
      </c>
      <c r="D15" s="6" t="str">
        <f>IF(A15="","",COUNTIF(#REF!,A15))</f>
        <v/>
      </c>
      <c r="E15" s="6" t="str">
        <f t="shared" si="0"/>
        <v/>
      </c>
      <c r="F15" s="6" t="str">
        <f t="shared" si="1"/>
        <v/>
      </c>
      <c r="G15" s="6" t="str">
        <f t="shared" si="2"/>
        <v/>
      </c>
      <c r="H15" s="6"/>
      <c r="I15" s="6"/>
      <c r="J15" s="6"/>
      <c r="K15" s="6"/>
    </row>
    <row r="16" spans="1:11" x14ac:dyDescent="0.25">
      <c r="A16" s="6"/>
      <c r="B16" s="6" t="str">
        <f t="array" ref="B16">IF(A16="","",IFERROR(INDEX('Form Responses 1'!U:U,MATCH(A16,#REF!,0)),"Chưa có"))</f>
        <v/>
      </c>
      <c r="C16" s="6" t="str">
        <f>IF(A16="","",COUNTIF(#REF!,A16))</f>
        <v/>
      </c>
      <c r="D16" s="6" t="str">
        <f>IF(A16="","",COUNTIF(#REF!,A16))</f>
        <v/>
      </c>
      <c r="E16" s="6" t="str">
        <f t="shared" si="0"/>
        <v/>
      </c>
      <c r="F16" s="6" t="str">
        <f t="shared" si="1"/>
        <v/>
      </c>
      <c r="G16" s="6" t="str">
        <f t="shared" si="2"/>
        <v/>
      </c>
      <c r="H16" s="6"/>
      <c r="I16" s="6"/>
      <c r="J16" s="6"/>
      <c r="K16" s="6"/>
    </row>
    <row r="17" spans="1:11" x14ac:dyDescent="0.25">
      <c r="A17" s="6"/>
      <c r="B17" s="6" t="str">
        <f t="array" ref="B17">IF(A17="","",IFERROR(INDEX('Form Responses 1'!U:U,MATCH(A17,#REF!,0)),"Chưa có"))</f>
        <v/>
      </c>
      <c r="C17" s="6" t="str">
        <f>IF(A17="","",COUNTIF(#REF!,A17))</f>
        <v/>
      </c>
      <c r="D17" s="6" t="str">
        <f>IF(A17="","",COUNTIF(#REF!,A17))</f>
        <v/>
      </c>
      <c r="E17" s="6" t="str">
        <f t="shared" si="0"/>
        <v/>
      </c>
      <c r="F17" s="6" t="str">
        <f t="shared" si="1"/>
        <v/>
      </c>
      <c r="G17" s="6" t="str">
        <f t="shared" si="2"/>
        <v/>
      </c>
      <c r="H17" s="6"/>
      <c r="I17" s="6"/>
      <c r="J17" s="6"/>
      <c r="K17" s="6"/>
    </row>
    <row r="18" spans="1:11" x14ac:dyDescent="0.25">
      <c r="A18" s="6"/>
      <c r="B18" s="6" t="str">
        <f t="array" ref="B18">IF(A18="","",IFERROR(INDEX('Form Responses 1'!U:U,MATCH(A18,#REF!,0)),"Chưa có"))</f>
        <v/>
      </c>
      <c r="C18" s="6" t="str">
        <f>IF(A18="","",COUNTIF(#REF!,A18))</f>
        <v/>
      </c>
      <c r="D18" s="6" t="str">
        <f>IF(A18="","",COUNTIF(#REF!,A18))</f>
        <v/>
      </c>
      <c r="E18" s="6" t="str">
        <f t="shared" si="0"/>
        <v/>
      </c>
      <c r="F18" s="6" t="str">
        <f t="shared" si="1"/>
        <v/>
      </c>
      <c r="G18" s="6" t="str">
        <f t="shared" si="2"/>
        <v/>
      </c>
      <c r="H18" s="6"/>
      <c r="I18" s="6"/>
      <c r="J18" s="6"/>
      <c r="K18" s="6"/>
    </row>
    <row r="19" spans="1:11" x14ac:dyDescent="0.25">
      <c r="A19" s="6"/>
      <c r="B19" s="6" t="str">
        <f t="array" ref="B19">IF(A19="","",IFERROR(INDEX('Form Responses 1'!U:U,MATCH(A19,#REF!,0)),"Chưa có"))</f>
        <v/>
      </c>
      <c r="C19" s="6" t="str">
        <f>IF(A19="","",COUNTIF(#REF!,A19))</f>
        <v/>
      </c>
      <c r="D19" s="6" t="str">
        <f>IF(A19="","",COUNTIF(#REF!,A19))</f>
        <v/>
      </c>
      <c r="E19" s="6" t="str">
        <f t="shared" si="0"/>
        <v/>
      </c>
      <c r="F19" s="6" t="str">
        <f t="shared" si="1"/>
        <v/>
      </c>
      <c r="G19" s="6" t="str">
        <f t="shared" si="2"/>
        <v/>
      </c>
      <c r="H19" s="6"/>
      <c r="I19" s="6"/>
      <c r="J19" s="6"/>
      <c r="K19" s="6"/>
    </row>
    <row r="20" spans="1:11" x14ac:dyDescent="0.25">
      <c r="A20" s="6"/>
      <c r="B20" s="6" t="str">
        <f t="array" ref="B20">IF(A20="","",IFERROR(INDEX('Form Responses 1'!U:U,MATCH(A20,#REF!,0)),"Chưa có"))</f>
        <v/>
      </c>
      <c r="C20" s="6" t="str">
        <f>IF(A20="","",COUNTIF(#REF!,A20))</f>
        <v/>
      </c>
      <c r="D20" s="6" t="str">
        <f>IF(A20="","",COUNTIF(#REF!,A20))</f>
        <v/>
      </c>
      <c r="E20" s="6" t="str">
        <f t="shared" si="0"/>
        <v/>
      </c>
      <c r="F20" s="6" t="str">
        <f t="shared" si="1"/>
        <v/>
      </c>
      <c r="G20" s="6" t="str">
        <f t="shared" si="2"/>
        <v/>
      </c>
      <c r="H20" s="6"/>
      <c r="I20" s="6"/>
      <c r="J20" s="6"/>
      <c r="K20" s="6"/>
    </row>
    <row r="21" spans="1:11" x14ac:dyDescent="0.25">
      <c r="A21" s="6"/>
      <c r="B21" s="6" t="str">
        <f t="array" ref="B21">IF(A21="","",IFERROR(INDEX('Form Responses 1'!U:U,MATCH(A21,#REF!,0)),"Chưa có"))</f>
        <v/>
      </c>
      <c r="C21" s="6" t="str">
        <f>IF(A21="","",COUNTIF(#REF!,A21))</f>
        <v/>
      </c>
      <c r="D21" s="6" t="str">
        <f>IF(A21="","",COUNTIF(#REF!,A21))</f>
        <v/>
      </c>
      <c r="E21" s="6" t="str">
        <f t="shared" si="0"/>
        <v/>
      </c>
      <c r="F21" s="6" t="str">
        <f t="shared" si="1"/>
        <v/>
      </c>
      <c r="G21" s="6" t="str">
        <f t="shared" si="2"/>
        <v/>
      </c>
      <c r="H21" s="6"/>
      <c r="I21" s="6"/>
      <c r="J21" s="6"/>
      <c r="K21" s="6"/>
    </row>
    <row r="22" spans="1:11" x14ac:dyDescent="0.25">
      <c r="A22" s="6"/>
      <c r="B22" s="6" t="str">
        <f t="array" ref="B22">IF(A22="","",IFERROR(INDEX('Form Responses 1'!U:U,MATCH(A22,#REF!,0)),"Chưa có"))</f>
        <v/>
      </c>
      <c r="C22" s="6" t="str">
        <f>IF(A22="","",COUNTIF(#REF!,A22))</f>
        <v/>
      </c>
      <c r="D22" s="6" t="str">
        <f>IF(A22="","",COUNTIF(#REF!,A22))</f>
        <v/>
      </c>
      <c r="E22" s="6" t="str">
        <f t="shared" si="0"/>
        <v/>
      </c>
      <c r="F22" s="6" t="str">
        <f t="shared" si="1"/>
        <v/>
      </c>
      <c r="G22" s="6" t="str">
        <f t="shared" si="2"/>
        <v/>
      </c>
      <c r="H22" s="6"/>
      <c r="I22" s="6"/>
      <c r="J22" s="6"/>
      <c r="K22" s="6"/>
    </row>
    <row r="23" spans="1:11" x14ac:dyDescent="0.25">
      <c r="A23" s="6"/>
      <c r="B23" s="6" t="str">
        <f t="array" ref="B23">IF(A23="","",IFERROR(INDEX('Form Responses 1'!U:U,MATCH(A23,#REF!,0)),"Chưa có"))</f>
        <v/>
      </c>
      <c r="C23" s="6" t="str">
        <f>IF(A23="","",COUNTIF(#REF!,A23))</f>
        <v/>
      </c>
      <c r="D23" s="6" t="str">
        <f>IF(A23="","",COUNTIF(#REF!,A23))</f>
        <v/>
      </c>
      <c r="E23" s="6" t="str">
        <f t="shared" si="0"/>
        <v/>
      </c>
      <c r="F23" s="6" t="str">
        <f t="shared" si="1"/>
        <v/>
      </c>
      <c r="G23" s="6" t="str">
        <f t="shared" si="2"/>
        <v/>
      </c>
      <c r="H23" s="6"/>
      <c r="I23" s="6"/>
      <c r="J23" s="6"/>
      <c r="K23" s="6"/>
    </row>
    <row r="24" spans="1:11" x14ac:dyDescent="0.25">
      <c r="A24" s="6"/>
      <c r="B24" s="6" t="str">
        <f t="array" ref="B24">IF(A24="","",IFERROR(INDEX('Form Responses 1'!U:U,MATCH(A24,#REF!,0)),"Chưa có"))</f>
        <v/>
      </c>
      <c r="C24" s="6" t="str">
        <f>IF(A24="","",COUNTIF(#REF!,A24))</f>
        <v/>
      </c>
      <c r="D24" s="6" t="str">
        <f>IF(A24="","",COUNTIF(#REF!,A24))</f>
        <v/>
      </c>
      <c r="E24" s="6" t="str">
        <f t="shared" si="0"/>
        <v/>
      </c>
      <c r="F24" s="6" t="str">
        <f t="shared" si="1"/>
        <v/>
      </c>
      <c r="G24" s="6" t="str">
        <f t="shared" si="2"/>
        <v/>
      </c>
      <c r="H24" s="6"/>
      <c r="I24" s="6"/>
      <c r="J24" s="6"/>
      <c r="K24" s="6"/>
    </row>
    <row r="25" spans="1:11" x14ac:dyDescent="0.25">
      <c r="A25" s="6"/>
      <c r="B25" s="6" t="str">
        <f t="array" ref="B25">IF(A25="","",IFERROR(INDEX('Form Responses 1'!U:U,MATCH(A25,#REF!,0)),"Chưa có"))</f>
        <v/>
      </c>
      <c r="C25" s="6" t="str">
        <f>IF(A25="","",COUNTIF(#REF!,A25))</f>
        <v/>
      </c>
      <c r="D25" s="6" t="str">
        <f>IF(A25="","",COUNTIF(#REF!,A25))</f>
        <v/>
      </c>
      <c r="E25" s="6" t="str">
        <f t="shared" si="0"/>
        <v/>
      </c>
      <c r="F25" s="6" t="str">
        <f t="shared" si="1"/>
        <v/>
      </c>
      <c r="G25" s="6" t="str">
        <f t="shared" si="2"/>
        <v/>
      </c>
      <c r="H25" s="6"/>
      <c r="I25" s="6"/>
      <c r="J25" s="6"/>
      <c r="K25" s="6"/>
    </row>
    <row r="26" spans="1:11" x14ac:dyDescent="0.25">
      <c r="A26" s="6"/>
      <c r="B26" s="6" t="str">
        <f t="array" ref="B26">IF(A26="","",IFERROR(INDEX('Form Responses 1'!U:U,MATCH(A26,#REF!,0)),"Chưa có"))</f>
        <v/>
      </c>
      <c r="C26" s="6" t="str">
        <f>IF(A26="","",COUNTIF(#REF!,A26))</f>
        <v/>
      </c>
      <c r="D26" s="6" t="str">
        <f>IF(A26="","",COUNTIF(#REF!,A26))</f>
        <v/>
      </c>
      <c r="E26" s="6" t="str">
        <f t="shared" si="0"/>
        <v/>
      </c>
      <c r="F26" s="6" t="str">
        <f t="shared" si="1"/>
        <v/>
      </c>
      <c r="G26" s="6" t="str">
        <f t="shared" si="2"/>
        <v/>
      </c>
      <c r="H26" s="6"/>
      <c r="I26" s="6"/>
      <c r="J26" s="6"/>
      <c r="K26" s="6"/>
    </row>
    <row r="27" spans="1:11" x14ac:dyDescent="0.25">
      <c r="A27" s="6"/>
      <c r="B27" s="6" t="str">
        <f t="array" ref="B27">IF(A27="","",IFERROR(INDEX('Form Responses 1'!U:U,MATCH(A27,#REF!,0)),"Chưa có"))</f>
        <v/>
      </c>
      <c r="C27" s="6" t="str">
        <f>IF(A27="","",COUNTIF(#REF!,A27))</f>
        <v/>
      </c>
      <c r="D27" s="6" t="str">
        <f>IF(A27="","",COUNTIF(#REF!,A27))</f>
        <v/>
      </c>
      <c r="E27" s="6" t="str">
        <f t="shared" si="0"/>
        <v/>
      </c>
      <c r="F27" s="6" t="str">
        <f t="shared" si="1"/>
        <v/>
      </c>
      <c r="G27" s="6" t="str">
        <f t="shared" si="2"/>
        <v/>
      </c>
      <c r="H27" s="6"/>
      <c r="I27" s="6"/>
      <c r="J27" s="6"/>
      <c r="K27" s="6"/>
    </row>
    <row r="28" spans="1:11" x14ac:dyDescent="0.25">
      <c r="A28" s="6"/>
      <c r="B28" s="6" t="str">
        <f t="array" ref="B28">IF(A28="","",IFERROR(INDEX('Form Responses 1'!U:U,MATCH(A28,#REF!,0)),"Chưa có"))</f>
        <v/>
      </c>
      <c r="C28" s="6" t="str">
        <f>IF(A28="","",COUNTIF(#REF!,A28))</f>
        <v/>
      </c>
      <c r="D28" s="6" t="str">
        <f>IF(A28="","",COUNTIF(#REF!,A28))</f>
        <v/>
      </c>
      <c r="E28" s="6" t="str">
        <f t="shared" si="0"/>
        <v/>
      </c>
      <c r="F28" s="6" t="str">
        <f t="shared" si="1"/>
        <v/>
      </c>
      <c r="G28" s="6" t="str">
        <f t="shared" si="2"/>
        <v/>
      </c>
      <c r="H28" s="6"/>
      <c r="I28" s="6"/>
      <c r="J28" s="6"/>
      <c r="K28" s="6"/>
    </row>
    <row r="29" spans="1:11" x14ac:dyDescent="0.25">
      <c r="A29" s="6"/>
      <c r="B29" s="6" t="str">
        <f t="array" ref="B29">IF(A29="","",IFERROR(INDEX('Form Responses 1'!U:U,MATCH(A29,#REF!,0)),"Chưa có"))</f>
        <v/>
      </c>
      <c r="C29" s="6" t="str">
        <f>IF(A29="","",COUNTIF(#REF!,A29))</f>
        <v/>
      </c>
      <c r="D29" s="6" t="str">
        <f>IF(A29="","",COUNTIF(#REF!,A29))</f>
        <v/>
      </c>
      <c r="E29" s="6" t="str">
        <f t="shared" si="0"/>
        <v/>
      </c>
      <c r="F29" s="6" t="str">
        <f t="shared" si="1"/>
        <v/>
      </c>
      <c r="G29" s="6" t="str">
        <f t="shared" si="2"/>
        <v/>
      </c>
      <c r="H29" s="6"/>
      <c r="I29" s="6"/>
      <c r="J29" s="6"/>
      <c r="K29" s="6"/>
    </row>
    <row r="30" spans="1:11" x14ac:dyDescent="0.25">
      <c r="A30" s="6"/>
      <c r="B30" s="6" t="str">
        <f t="array" ref="B30">IF(A30="","",IFERROR(INDEX('Form Responses 1'!U:U,MATCH(A30,#REF!,0)),"Chưa có"))</f>
        <v/>
      </c>
      <c r="C30" s="6" t="str">
        <f>IF(A30="","",COUNTIF(#REF!,A30))</f>
        <v/>
      </c>
      <c r="D30" s="6" t="str">
        <f>IF(A30="","",COUNTIF(#REF!,A30))</f>
        <v/>
      </c>
      <c r="E30" s="6" t="str">
        <f t="shared" si="0"/>
        <v/>
      </c>
      <c r="F30" s="6" t="str">
        <f t="shared" si="1"/>
        <v/>
      </c>
      <c r="G30" s="6" t="str">
        <f t="shared" si="2"/>
        <v/>
      </c>
      <c r="H30" s="6"/>
      <c r="I30" s="6"/>
      <c r="J30" s="6"/>
      <c r="K30" s="6"/>
    </row>
    <row r="31" spans="1:11" x14ac:dyDescent="0.25">
      <c r="A31" s="6"/>
      <c r="B31" s="6" t="str">
        <f t="array" ref="B31">IF(A31="","",IFERROR(INDEX('Form Responses 1'!U:U,MATCH(A31,#REF!,0)),"Chưa có"))</f>
        <v/>
      </c>
      <c r="C31" s="6" t="str">
        <f>IF(A31="","",COUNTIF(#REF!,A31))</f>
        <v/>
      </c>
      <c r="D31" s="6" t="str">
        <f>IF(A31="","",COUNTIF(#REF!,A31))</f>
        <v/>
      </c>
      <c r="E31" s="6" t="str">
        <f t="shared" si="0"/>
        <v/>
      </c>
      <c r="F31" s="6" t="str">
        <f t="shared" si="1"/>
        <v/>
      </c>
      <c r="G31" s="6" t="str">
        <f t="shared" si="2"/>
        <v/>
      </c>
      <c r="H31" s="6"/>
      <c r="I31" s="6"/>
      <c r="J31" s="6"/>
      <c r="K31" s="6"/>
    </row>
    <row r="32" spans="1:11" x14ac:dyDescent="0.25">
      <c r="A32" s="6"/>
      <c r="B32" s="6" t="str">
        <f t="array" ref="B32">IF(A32="","",IFERROR(INDEX('Form Responses 1'!U:U,MATCH(A32,#REF!,0)),"Chưa có"))</f>
        <v/>
      </c>
      <c r="C32" s="6" t="str">
        <f>IF(A32="","",COUNTIF(#REF!,A32))</f>
        <v/>
      </c>
      <c r="D32" s="6" t="str">
        <f>IF(A32="","",COUNTIF(#REF!,A32))</f>
        <v/>
      </c>
      <c r="E32" s="6" t="str">
        <f t="shared" si="0"/>
        <v/>
      </c>
      <c r="F32" s="6" t="str">
        <f t="shared" si="1"/>
        <v/>
      </c>
      <c r="G32" s="6" t="str">
        <f t="shared" si="2"/>
        <v/>
      </c>
      <c r="H32" s="6"/>
      <c r="I32" s="6"/>
      <c r="J32" s="6"/>
      <c r="K32" s="6"/>
    </row>
    <row r="33" spans="1:11" x14ac:dyDescent="0.25">
      <c r="A33" s="6"/>
      <c r="B33" s="6" t="str">
        <f t="array" ref="B33">IF(A33="","",IFERROR(INDEX('Form Responses 1'!U:U,MATCH(A33,#REF!,0)),"Chưa có"))</f>
        <v/>
      </c>
      <c r="C33" s="6" t="str">
        <f>IF(A33="","",COUNTIF(#REF!,A33))</f>
        <v/>
      </c>
      <c r="D33" s="6" t="str">
        <f>IF(A33="","",COUNTIF(#REF!,A33))</f>
        <v/>
      </c>
      <c r="E33" s="6" t="str">
        <f t="shared" si="0"/>
        <v/>
      </c>
      <c r="F33" s="6" t="str">
        <f t="shared" si="1"/>
        <v/>
      </c>
      <c r="G33" s="6" t="str">
        <f t="shared" si="2"/>
        <v/>
      </c>
      <c r="H33" s="6"/>
      <c r="I33" s="6"/>
      <c r="J33" s="6"/>
      <c r="K33" s="6"/>
    </row>
    <row r="34" spans="1:11" x14ac:dyDescent="0.25">
      <c r="A34" s="6"/>
      <c r="B34" s="6" t="str">
        <f t="array" ref="B34">IF(A34="","",IFERROR(INDEX('Form Responses 1'!U:U,MATCH(A34,#REF!,0)),"Chưa có"))</f>
        <v/>
      </c>
      <c r="C34" s="6" t="str">
        <f>IF(A34="","",COUNTIF(#REF!,A34))</f>
        <v/>
      </c>
      <c r="D34" s="6" t="str">
        <f>IF(A34="","",COUNTIF(#REF!,A34))</f>
        <v/>
      </c>
      <c r="E34" s="6" t="str">
        <f t="shared" si="0"/>
        <v/>
      </c>
      <c r="F34" s="6" t="str">
        <f t="shared" si="1"/>
        <v/>
      </c>
      <c r="G34" s="6" t="str">
        <f t="shared" si="2"/>
        <v/>
      </c>
      <c r="H34" s="6"/>
      <c r="I34" s="6"/>
      <c r="J34" s="6"/>
      <c r="K34" s="6"/>
    </row>
    <row r="35" spans="1:11" x14ac:dyDescent="0.25">
      <c r="A35" s="6"/>
      <c r="B35" s="6" t="str">
        <f t="array" ref="B35">IF(A35="","",IFERROR(INDEX('Form Responses 1'!U:U,MATCH(A35,#REF!,0)),"Chưa có"))</f>
        <v/>
      </c>
      <c r="C35" s="6" t="str">
        <f>IF(A35="","",COUNTIF(#REF!,A35))</f>
        <v/>
      </c>
      <c r="D35" s="6" t="str">
        <f>IF(A35="","",COUNTIF(#REF!,A35))</f>
        <v/>
      </c>
      <c r="E35" s="6" t="str">
        <f t="shared" si="0"/>
        <v/>
      </c>
      <c r="F35" s="6" t="str">
        <f t="shared" si="1"/>
        <v/>
      </c>
      <c r="G35" s="6" t="str">
        <f t="shared" si="2"/>
        <v/>
      </c>
      <c r="H35" s="6"/>
      <c r="I35" s="6"/>
      <c r="J35" s="6"/>
      <c r="K35" s="6"/>
    </row>
    <row r="36" spans="1:11" x14ac:dyDescent="0.25">
      <c r="A36" s="6"/>
      <c r="B36" s="6" t="str">
        <f t="array" ref="B36">IF(A36="","",IFERROR(INDEX('Form Responses 1'!U:U,MATCH(A36,#REF!,0)),"Chưa có"))</f>
        <v/>
      </c>
      <c r="C36" s="6" t="str">
        <f>IF(A36="","",COUNTIF(#REF!,A36))</f>
        <v/>
      </c>
      <c r="D36" s="6" t="str">
        <f>IF(A36="","",COUNTIF(#REF!,A36))</f>
        <v/>
      </c>
      <c r="E36" s="6" t="str">
        <f t="shared" si="0"/>
        <v/>
      </c>
      <c r="F36" s="6" t="str">
        <f t="shared" si="1"/>
        <v/>
      </c>
      <c r="G36" s="6" t="str">
        <f t="shared" si="2"/>
        <v/>
      </c>
      <c r="H36" s="6"/>
      <c r="I36" s="6"/>
      <c r="J36" s="6"/>
      <c r="K36" s="6"/>
    </row>
    <row r="37" spans="1:11" x14ac:dyDescent="0.25">
      <c r="A37" s="6"/>
      <c r="B37" s="6" t="str">
        <f t="array" ref="B37">IF(A37="","",IFERROR(INDEX('Form Responses 1'!U:U,MATCH(A37,#REF!,0)),"Chưa có"))</f>
        <v/>
      </c>
      <c r="C37" s="6" t="str">
        <f>IF(A37="","",COUNTIF(#REF!,A37))</f>
        <v/>
      </c>
      <c r="D37" s="6" t="str">
        <f>IF(A37="","",COUNTIF(#REF!,A37))</f>
        <v/>
      </c>
      <c r="E37" s="6" t="str">
        <f t="shared" si="0"/>
        <v/>
      </c>
      <c r="F37" s="6" t="str">
        <f t="shared" si="1"/>
        <v/>
      </c>
      <c r="G37" s="6" t="str">
        <f t="shared" si="2"/>
        <v/>
      </c>
      <c r="H37" s="6"/>
      <c r="I37" s="6"/>
      <c r="J37" s="6"/>
      <c r="K37" s="6"/>
    </row>
    <row r="38" spans="1:11" x14ac:dyDescent="0.25">
      <c r="A38" s="6"/>
      <c r="B38" s="6" t="str">
        <f t="array" ref="B38">IF(A38="","",IFERROR(INDEX('Form Responses 1'!U:U,MATCH(A38,#REF!,0)),"Chưa có"))</f>
        <v/>
      </c>
      <c r="C38" s="6" t="str">
        <f>IF(A38="","",COUNTIF(#REF!,A38))</f>
        <v/>
      </c>
      <c r="D38" s="6" t="str">
        <f>IF(A38="","",COUNTIF(#REF!,A38))</f>
        <v/>
      </c>
      <c r="E38" s="6" t="str">
        <f t="shared" si="0"/>
        <v/>
      </c>
      <c r="F38" s="6" t="str">
        <f t="shared" si="1"/>
        <v/>
      </c>
      <c r="G38" s="6" t="str">
        <f t="shared" si="2"/>
        <v/>
      </c>
      <c r="H38" s="6"/>
      <c r="I38" s="6"/>
      <c r="J38" s="6"/>
      <c r="K38" s="6"/>
    </row>
    <row r="39" spans="1:11" x14ac:dyDescent="0.25">
      <c r="A39" s="6"/>
      <c r="B39" s="6" t="str">
        <f t="array" ref="B39">IF(A39="","",IFERROR(INDEX('Form Responses 1'!U:U,MATCH(A39,#REF!,0)),"Chưa có"))</f>
        <v/>
      </c>
      <c r="C39" s="6" t="str">
        <f>IF(A39="","",COUNTIF(#REF!,A39))</f>
        <v/>
      </c>
      <c r="D39" s="6" t="str">
        <f>IF(A39="","",COUNTIF(#REF!,A39))</f>
        <v/>
      </c>
      <c r="E39" s="6" t="str">
        <f t="shared" si="0"/>
        <v/>
      </c>
      <c r="F39" s="6" t="str">
        <f t="shared" si="1"/>
        <v/>
      </c>
      <c r="G39" s="6" t="str">
        <f t="shared" si="2"/>
        <v/>
      </c>
      <c r="H39" s="6"/>
      <c r="I39" s="6"/>
      <c r="J39" s="6"/>
      <c r="K39" s="6"/>
    </row>
    <row r="40" spans="1:11" x14ac:dyDescent="0.25">
      <c r="A40" s="6"/>
      <c r="B40" s="6" t="str">
        <f t="array" ref="B40">IF(A40="","",IFERROR(INDEX('Form Responses 1'!U:U,MATCH(A40,#REF!,0)),"Chưa có"))</f>
        <v/>
      </c>
      <c r="C40" s="6" t="str">
        <f>IF(A40="","",COUNTIF(#REF!,A40))</f>
        <v/>
      </c>
      <c r="D40" s="6" t="str">
        <f>IF(A40="","",COUNTIF(#REF!,A40))</f>
        <v/>
      </c>
      <c r="E40" s="6" t="str">
        <f t="shared" si="0"/>
        <v/>
      </c>
      <c r="F40" s="6" t="str">
        <f t="shared" si="1"/>
        <v/>
      </c>
      <c r="G40" s="6" t="str">
        <f t="shared" si="2"/>
        <v/>
      </c>
      <c r="H40" s="6"/>
      <c r="I40" s="6"/>
      <c r="J40" s="6"/>
      <c r="K40" s="6"/>
    </row>
    <row r="41" spans="1:11" x14ac:dyDescent="0.25">
      <c r="A41" s="6"/>
      <c r="B41" s="6" t="str">
        <f t="array" ref="B41">IF(A41="","",IFERROR(INDEX('Form Responses 1'!U:U,MATCH(A41,#REF!,0)),"Chưa có"))</f>
        <v/>
      </c>
      <c r="C41" s="6" t="str">
        <f>IF(A41="","",COUNTIF(#REF!,A41))</f>
        <v/>
      </c>
      <c r="D41" s="6" t="str">
        <f>IF(A41="","",COUNTIF(#REF!,A41))</f>
        <v/>
      </c>
      <c r="E41" s="6" t="str">
        <f t="shared" si="0"/>
        <v/>
      </c>
      <c r="F41" s="6" t="str">
        <f t="shared" si="1"/>
        <v/>
      </c>
      <c r="G41" s="6" t="str">
        <f t="shared" si="2"/>
        <v/>
      </c>
      <c r="H41" s="6"/>
      <c r="I41" s="6"/>
      <c r="J41" s="6"/>
      <c r="K41" s="6"/>
    </row>
    <row r="42" spans="1:11" x14ac:dyDescent="0.25">
      <c r="A42" s="6"/>
      <c r="B42" s="6"/>
      <c r="C42" s="6"/>
      <c r="D42" s="6"/>
      <c r="E42" s="6"/>
      <c r="F42" s="6"/>
      <c r="G42" s="6"/>
      <c r="H42" s="6"/>
      <c r="I42" s="6"/>
      <c r="J42" s="6"/>
      <c r="K42" s="6"/>
    </row>
    <row r="43" spans="1:11" x14ac:dyDescent="0.25">
      <c r="A43" s="6"/>
      <c r="B43" s="6"/>
      <c r="C43" s="6"/>
      <c r="D43" s="6"/>
      <c r="E43" s="6"/>
      <c r="F43" s="6"/>
      <c r="G43" s="6"/>
      <c r="H43" s="6"/>
      <c r="I43" s="6"/>
      <c r="J43" s="6"/>
      <c r="K43" s="6"/>
    </row>
    <row r="44" spans="1:11" x14ac:dyDescent="0.25">
      <c r="A44" s="6"/>
      <c r="B44" s="6"/>
      <c r="C44" s="6"/>
      <c r="D44" s="6"/>
      <c r="E44" s="6"/>
      <c r="F44" s="6"/>
      <c r="G44" s="6"/>
      <c r="H44" s="6"/>
      <c r="I44" s="6"/>
      <c r="J44" s="6"/>
      <c r="K44" s="6"/>
    </row>
    <row r="45" spans="1:11" x14ac:dyDescent="0.25">
      <c r="A45" s="6"/>
      <c r="B45" s="6"/>
      <c r="C45" s="6"/>
      <c r="D45" s="6"/>
      <c r="E45" s="6"/>
      <c r="F45" s="6"/>
      <c r="G45" s="6"/>
      <c r="H45" s="6"/>
      <c r="I45" s="6"/>
      <c r="J45" s="6"/>
      <c r="K45" s="6"/>
    </row>
    <row r="46" spans="1:11" x14ac:dyDescent="0.25">
      <c r="A46" s="6"/>
      <c r="B46" s="6"/>
      <c r="C46" s="6"/>
      <c r="D46" s="6"/>
      <c r="E46" s="6"/>
      <c r="F46" s="6"/>
      <c r="G46" s="6"/>
      <c r="H46" s="6"/>
      <c r="I46" s="6"/>
      <c r="J46" s="6"/>
      <c r="K46" s="6"/>
    </row>
    <row r="47" spans="1:11" x14ac:dyDescent="0.25">
      <c r="A47" s="6"/>
      <c r="B47" s="6"/>
      <c r="C47" s="6"/>
      <c r="D47" s="6"/>
      <c r="E47" s="6"/>
      <c r="F47" s="6"/>
      <c r="G47" s="6"/>
      <c r="H47" s="6"/>
      <c r="I47" s="6"/>
      <c r="J47" s="6"/>
      <c r="K47" s="6"/>
    </row>
    <row r="48" spans="1:11" x14ac:dyDescent="0.25">
      <c r="A48" s="6"/>
      <c r="B48" s="6"/>
      <c r="C48" s="6"/>
      <c r="D48" s="6"/>
      <c r="E48" s="6"/>
      <c r="F48" s="6"/>
      <c r="G48" s="6"/>
      <c r="H48" s="6"/>
      <c r="I48" s="6"/>
      <c r="J48" s="6"/>
      <c r="K48" s="6"/>
    </row>
    <row r="49" spans="1:11" x14ac:dyDescent="0.25">
      <c r="A49" s="6"/>
      <c r="B49" s="6"/>
      <c r="C49" s="6"/>
      <c r="D49" s="6"/>
      <c r="E49" s="6"/>
      <c r="F49" s="6"/>
      <c r="G49" s="6"/>
      <c r="H49" s="6"/>
      <c r="I49" s="6"/>
      <c r="J49" s="6"/>
      <c r="K49" s="6"/>
    </row>
    <row r="50" spans="1:11" x14ac:dyDescent="0.25">
      <c r="A50" s="6"/>
      <c r="B50" s="6"/>
      <c r="C50" s="6"/>
      <c r="D50" s="6"/>
      <c r="E50" s="6"/>
      <c r="F50" s="6"/>
      <c r="G50" s="6"/>
      <c r="H50" s="6"/>
      <c r="I50" s="6"/>
      <c r="J50" s="6"/>
      <c r="K50" s="6"/>
    </row>
    <row r="51" spans="1:11" x14ac:dyDescent="0.25">
      <c r="A51" s="6"/>
      <c r="B51" s="6"/>
      <c r="C51" s="6"/>
      <c r="D51" s="6"/>
      <c r="E51" s="6"/>
      <c r="F51" s="6"/>
      <c r="G51" s="6"/>
      <c r="H51" s="6"/>
      <c r="I51" s="6"/>
      <c r="J51" s="6"/>
      <c r="K51" s="6"/>
    </row>
    <row r="52" spans="1:11" x14ac:dyDescent="0.25">
      <c r="A52" s="6"/>
      <c r="B52" s="6"/>
      <c r="C52" s="6"/>
      <c r="D52" s="6"/>
      <c r="E52" s="6"/>
      <c r="F52" s="6"/>
      <c r="G52" s="6"/>
      <c r="H52" s="6"/>
      <c r="I52" s="6"/>
      <c r="J52" s="6"/>
      <c r="K52" s="6"/>
    </row>
    <row r="53" spans="1:11" x14ac:dyDescent="0.25">
      <c r="A53" s="6"/>
      <c r="B53" s="6"/>
      <c r="C53" s="6"/>
      <c r="D53" s="6"/>
      <c r="E53" s="6"/>
      <c r="F53" s="6"/>
      <c r="G53" s="6"/>
      <c r="H53" s="6"/>
      <c r="I53" s="6"/>
      <c r="J53" s="6"/>
      <c r="K53" s="6"/>
    </row>
    <row r="54" spans="1:11" x14ac:dyDescent="0.25">
      <c r="A54" s="6"/>
      <c r="B54" s="6"/>
      <c r="C54" s="6"/>
      <c r="D54" s="6"/>
      <c r="E54" s="6"/>
      <c r="F54" s="6"/>
      <c r="G54" s="6"/>
      <c r="H54" s="6"/>
      <c r="I54" s="6"/>
      <c r="J54" s="6"/>
      <c r="K54" s="6"/>
    </row>
    <row r="55" spans="1:11" x14ac:dyDescent="0.25">
      <c r="A55" s="6"/>
      <c r="B55" s="6"/>
      <c r="C55" s="6"/>
      <c r="D55" s="6"/>
      <c r="E55" s="6"/>
      <c r="F55" s="6"/>
      <c r="G55" s="6"/>
      <c r="H55" s="6"/>
      <c r="I55" s="6"/>
      <c r="J55" s="6"/>
      <c r="K55" s="6"/>
    </row>
    <row r="56" spans="1:11" x14ac:dyDescent="0.25">
      <c r="A56" s="6"/>
      <c r="B56" s="6"/>
      <c r="C56" s="6"/>
      <c r="D56" s="6"/>
      <c r="E56" s="6"/>
      <c r="F56" s="6"/>
      <c r="G56" s="6"/>
      <c r="H56" s="6"/>
      <c r="I56" s="6"/>
      <c r="J56" s="6"/>
      <c r="K56" s="6"/>
    </row>
    <row r="57" spans="1:11" x14ac:dyDescent="0.25">
      <c r="A57" s="6"/>
      <c r="B57" s="6"/>
      <c r="C57" s="6"/>
      <c r="D57" s="6"/>
      <c r="E57" s="6"/>
      <c r="F57" s="6"/>
      <c r="G57" s="6"/>
      <c r="H57" s="6"/>
      <c r="I57" s="6"/>
      <c r="J57" s="6"/>
      <c r="K57" s="6"/>
    </row>
    <row r="58" spans="1:11" x14ac:dyDescent="0.25">
      <c r="A58" s="6"/>
      <c r="B58" s="6"/>
      <c r="C58" s="6"/>
      <c r="D58" s="6"/>
      <c r="E58" s="6"/>
      <c r="F58" s="6"/>
      <c r="G58" s="6"/>
      <c r="H58" s="6"/>
      <c r="I58" s="6"/>
      <c r="J58" s="6"/>
      <c r="K58" s="6"/>
    </row>
    <row r="59" spans="1:11" x14ac:dyDescent="0.25">
      <c r="A59" s="6"/>
      <c r="B59" s="6"/>
      <c r="C59" s="6"/>
      <c r="D59" s="6"/>
      <c r="E59" s="6"/>
      <c r="F59" s="6"/>
      <c r="G59" s="6"/>
      <c r="H59" s="6"/>
      <c r="I59" s="6"/>
      <c r="J59" s="6"/>
      <c r="K59" s="6"/>
    </row>
    <row r="60" spans="1:11" x14ac:dyDescent="0.25">
      <c r="A60" s="6"/>
      <c r="B60" s="6"/>
      <c r="C60" s="6"/>
      <c r="D60" s="6"/>
      <c r="E60" s="6"/>
      <c r="F60" s="6"/>
      <c r="G60" s="6"/>
      <c r="H60" s="6"/>
      <c r="I60" s="6"/>
      <c r="J60" s="6"/>
      <c r="K60" s="6"/>
    </row>
    <row r="61" spans="1:11" x14ac:dyDescent="0.25">
      <c r="A61" s="6"/>
      <c r="B61" s="6"/>
      <c r="C61" s="6"/>
      <c r="D61" s="6"/>
      <c r="E61" s="6"/>
      <c r="F61" s="6"/>
      <c r="G61" s="6"/>
      <c r="H61" s="6"/>
      <c r="I61" s="6"/>
      <c r="J61" s="6"/>
      <c r="K61" s="6"/>
    </row>
    <row r="62" spans="1:11" x14ac:dyDescent="0.25">
      <c r="A62" s="6"/>
      <c r="B62" s="6"/>
      <c r="C62" s="6"/>
      <c r="D62" s="6"/>
      <c r="E62" s="6"/>
      <c r="F62" s="6"/>
      <c r="G62" s="6"/>
      <c r="H62" s="6"/>
      <c r="I62" s="6"/>
      <c r="J62" s="6"/>
      <c r="K62" s="6"/>
    </row>
    <row r="63" spans="1:11" x14ac:dyDescent="0.25">
      <c r="A63" s="6"/>
      <c r="B63" s="6"/>
      <c r="C63" s="6"/>
      <c r="D63" s="6"/>
      <c r="E63" s="6"/>
      <c r="F63" s="6"/>
      <c r="G63" s="6"/>
      <c r="H63" s="6"/>
      <c r="I63" s="6"/>
      <c r="J63" s="6"/>
      <c r="K63" s="6"/>
    </row>
    <row r="64" spans="1:11" x14ac:dyDescent="0.25">
      <c r="A64" s="6"/>
      <c r="B64" s="6"/>
      <c r="C64" s="6"/>
      <c r="D64" s="6"/>
      <c r="E64" s="6"/>
      <c r="F64" s="6"/>
      <c r="G64" s="6"/>
      <c r="H64" s="6"/>
      <c r="I64" s="6"/>
      <c r="J64" s="6"/>
      <c r="K64" s="6"/>
    </row>
    <row r="65" spans="1:11" x14ac:dyDescent="0.25">
      <c r="A65" s="6"/>
      <c r="B65" s="6"/>
      <c r="C65" s="6"/>
      <c r="D65" s="6"/>
      <c r="E65" s="6"/>
      <c r="F65" s="6"/>
      <c r="G65" s="6"/>
      <c r="H65" s="6"/>
      <c r="I65" s="6"/>
      <c r="J65" s="6"/>
      <c r="K65" s="6"/>
    </row>
    <row r="66" spans="1:11" x14ac:dyDescent="0.25">
      <c r="A66" s="6"/>
      <c r="B66" s="6"/>
      <c r="C66" s="6"/>
      <c r="D66" s="6"/>
      <c r="E66" s="6"/>
      <c r="F66" s="6"/>
      <c r="G66" s="6"/>
      <c r="H66" s="6"/>
      <c r="I66" s="6"/>
      <c r="J66" s="6"/>
      <c r="K66" s="6"/>
    </row>
    <row r="67" spans="1:11" x14ac:dyDescent="0.25">
      <c r="A67" s="6"/>
      <c r="B67" s="6"/>
      <c r="C67" s="6"/>
      <c r="D67" s="6"/>
      <c r="E67" s="6"/>
      <c r="F67" s="6"/>
      <c r="G67" s="6"/>
      <c r="H67" s="6"/>
      <c r="I67" s="6"/>
      <c r="J67" s="6"/>
      <c r="K67" s="6"/>
    </row>
    <row r="68" spans="1:11" x14ac:dyDescent="0.25">
      <c r="A68" s="6"/>
      <c r="B68" s="6"/>
      <c r="C68" s="6"/>
      <c r="D68" s="6"/>
      <c r="E68" s="6"/>
      <c r="F68" s="6"/>
      <c r="G68" s="6"/>
      <c r="H68" s="6"/>
      <c r="I68" s="6"/>
      <c r="J68" s="6"/>
      <c r="K68" s="6"/>
    </row>
    <row r="69" spans="1:11" x14ac:dyDescent="0.25">
      <c r="A69" s="6"/>
      <c r="B69" s="6"/>
      <c r="C69" s="6"/>
      <c r="D69" s="6"/>
      <c r="E69" s="6"/>
      <c r="F69" s="6"/>
      <c r="G69" s="6"/>
      <c r="H69" s="6"/>
      <c r="I69" s="6"/>
      <c r="J69" s="6"/>
      <c r="K69" s="6"/>
    </row>
    <row r="70" spans="1:11" x14ac:dyDescent="0.25">
      <c r="A70" s="6"/>
      <c r="B70" s="6"/>
      <c r="C70" s="6"/>
      <c r="D70" s="6"/>
      <c r="E70" s="6"/>
      <c r="F70" s="6"/>
      <c r="G70" s="6"/>
      <c r="H70" s="6"/>
      <c r="I70" s="6"/>
      <c r="J70" s="6"/>
      <c r="K70" s="6"/>
    </row>
    <row r="71" spans="1:11" x14ac:dyDescent="0.25">
      <c r="A71" s="6"/>
      <c r="B71" s="6"/>
      <c r="C71" s="6"/>
      <c r="D71" s="6"/>
      <c r="E71" s="6"/>
      <c r="F71" s="6"/>
      <c r="G71" s="6"/>
      <c r="H71" s="6"/>
      <c r="I71" s="6"/>
      <c r="J71" s="6"/>
      <c r="K71" s="6"/>
    </row>
    <row r="72" spans="1:11" x14ac:dyDescent="0.25">
      <c r="A72" s="6"/>
      <c r="B72" s="6"/>
      <c r="C72" s="6"/>
      <c r="D72" s="6"/>
      <c r="E72" s="6"/>
      <c r="F72" s="6"/>
      <c r="G72" s="6"/>
      <c r="H72" s="6"/>
      <c r="I72" s="6"/>
      <c r="J72" s="6"/>
      <c r="K72" s="6"/>
    </row>
    <row r="73" spans="1:11" x14ac:dyDescent="0.25">
      <c r="A73" s="6"/>
      <c r="B73" s="6"/>
      <c r="C73" s="6"/>
      <c r="D73" s="6"/>
      <c r="E73" s="6"/>
      <c r="F73" s="6"/>
      <c r="G73" s="6"/>
      <c r="H73" s="6"/>
      <c r="I73" s="6"/>
      <c r="J73" s="6"/>
      <c r="K73" s="6"/>
    </row>
    <row r="74" spans="1:11" x14ac:dyDescent="0.25">
      <c r="A74" s="6"/>
      <c r="B74" s="6"/>
      <c r="C74" s="6"/>
      <c r="D74" s="6"/>
      <c r="E74" s="6"/>
      <c r="F74" s="6"/>
      <c r="G74" s="6"/>
      <c r="H74" s="6"/>
      <c r="I74" s="6"/>
      <c r="J74" s="6"/>
      <c r="K74" s="6"/>
    </row>
    <row r="75" spans="1:11" x14ac:dyDescent="0.25">
      <c r="A75" s="6"/>
      <c r="B75" s="6"/>
      <c r="C75" s="6"/>
      <c r="D75" s="6"/>
      <c r="E75" s="6"/>
      <c r="F75" s="6"/>
      <c r="G75" s="6"/>
      <c r="H75" s="6"/>
      <c r="I75" s="6"/>
      <c r="J75" s="6"/>
      <c r="K75" s="6"/>
    </row>
    <row r="76" spans="1:11" x14ac:dyDescent="0.25">
      <c r="A76" s="6"/>
      <c r="B76" s="6"/>
      <c r="C76" s="6"/>
      <c r="D76" s="6"/>
      <c r="E76" s="6"/>
      <c r="F76" s="6"/>
      <c r="G76" s="6"/>
      <c r="H76" s="6"/>
      <c r="I76" s="6"/>
      <c r="J76" s="6"/>
      <c r="K76" s="6"/>
    </row>
    <row r="77" spans="1:11" x14ac:dyDescent="0.25">
      <c r="A77" s="6"/>
      <c r="B77" s="6"/>
      <c r="C77" s="6"/>
      <c r="D77" s="6"/>
      <c r="E77" s="6"/>
      <c r="F77" s="6"/>
      <c r="G77" s="6"/>
      <c r="H77" s="6"/>
      <c r="I77" s="6"/>
      <c r="J77" s="6"/>
      <c r="K77" s="6"/>
    </row>
    <row r="78" spans="1:11" x14ac:dyDescent="0.25">
      <c r="A78" s="6"/>
      <c r="B78" s="6"/>
      <c r="C78" s="6"/>
      <c r="D78" s="6"/>
      <c r="E78" s="6"/>
      <c r="F78" s="6"/>
      <c r="G78" s="6"/>
      <c r="H78" s="6"/>
      <c r="I78" s="6"/>
      <c r="J78" s="6"/>
      <c r="K78" s="6"/>
    </row>
    <row r="79" spans="1:11" x14ac:dyDescent="0.25">
      <c r="A79" s="6"/>
      <c r="B79" s="6"/>
      <c r="C79" s="6"/>
      <c r="D79" s="6"/>
      <c r="E79" s="6"/>
      <c r="F79" s="6"/>
      <c r="G79" s="6"/>
      <c r="H79" s="6"/>
      <c r="I79" s="6"/>
      <c r="J79" s="6"/>
      <c r="K79" s="6"/>
    </row>
    <row r="80" spans="1:11" x14ac:dyDescent="0.25">
      <c r="A80" s="6"/>
      <c r="B80" s="6"/>
      <c r="C80" s="6"/>
      <c r="D80" s="6"/>
      <c r="E80" s="6"/>
      <c r="F80" s="6"/>
      <c r="G80" s="6"/>
      <c r="H80" s="6"/>
      <c r="I80" s="6"/>
      <c r="J80" s="6"/>
      <c r="K80" s="6"/>
    </row>
    <row r="81" spans="1:11" x14ac:dyDescent="0.25">
      <c r="A81" s="6"/>
      <c r="B81" s="6"/>
      <c r="C81" s="6"/>
      <c r="D81" s="6"/>
      <c r="E81" s="6"/>
      <c r="F81" s="6"/>
      <c r="G81" s="6"/>
      <c r="H81" s="6"/>
      <c r="I81" s="6"/>
      <c r="J81" s="6"/>
      <c r="K81" s="6"/>
    </row>
    <row r="82" spans="1:11" x14ac:dyDescent="0.25">
      <c r="A82" s="6"/>
      <c r="B82" s="6"/>
      <c r="C82" s="6"/>
      <c r="D82" s="6"/>
      <c r="E82" s="6"/>
      <c r="F82" s="6"/>
      <c r="G82" s="6"/>
      <c r="H82" s="6"/>
      <c r="I82" s="6"/>
      <c r="J82" s="6"/>
      <c r="K82" s="6"/>
    </row>
    <row r="83" spans="1:11" x14ac:dyDescent="0.25">
      <c r="A83" s="6"/>
      <c r="B83" s="6"/>
      <c r="C83" s="6"/>
      <c r="D83" s="6"/>
      <c r="E83" s="6"/>
      <c r="F83" s="6"/>
      <c r="G83" s="6"/>
      <c r="H83" s="6"/>
      <c r="I83" s="6"/>
      <c r="J83" s="6"/>
      <c r="K83" s="6"/>
    </row>
    <row r="84" spans="1:11" x14ac:dyDescent="0.25">
      <c r="A84" s="6"/>
      <c r="B84" s="6"/>
      <c r="C84" s="6"/>
      <c r="D84" s="6"/>
      <c r="E84" s="6"/>
      <c r="F84" s="6"/>
      <c r="G84" s="6"/>
      <c r="H84" s="6"/>
      <c r="I84" s="6"/>
      <c r="J84" s="6"/>
      <c r="K84" s="6"/>
    </row>
    <row r="85" spans="1:11" x14ac:dyDescent="0.25">
      <c r="A85" s="6"/>
      <c r="B85" s="6"/>
      <c r="C85" s="6"/>
      <c r="D85" s="6"/>
      <c r="E85" s="6"/>
      <c r="F85" s="6"/>
      <c r="G85" s="6"/>
      <c r="H85" s="6"/>
      <c r="I85" s="6"/>
      <c r="J85" s="6"/>
      <c r="K85" s="6"/>
    </row>
    <row r="86" spans="1:11" x14ac:dyDescent="0.25">
      <c r="A86" s="6"/>
      <c r="B86" s="6"/>
      <c r="C86" s="6"/>
      <c r="D86" s="6"/>
      <c r="E86" s="6"/>
      <c r="F86" s="6"/>
      <c r="G86" s="6"/>
      <c r="H86" s="6"/>
      <c r="I86" s="6"/>
      <c r="J86" s="6"/>
      <c r="K86" s="6"/>
    </row>
    <row r="87" spans="1:11" x14ac:dyDescent="0.25">
      <c r="A87" s="6"/>
      <c r="B87" s="6"/>
      <c r="C87" s="6"/>
      <c r="D87" s="6"/>
      <c r="E87" s="6"/>
      <c r="F87" s="6"/>
      <c r="G87" s="6"/>
      <c r="H87" s="6"/>
      <c r="I87" s="6"/>
      <c r="J87" s="6"/>
      <c r="K87" s="6"/>
    </row>
    <row r="88" spans="1:11" x14ac:dyDescent="0.25">
      <c r="A88" s="6"/>
      <c r="B88" s="6"/>
      <c r="C88" s="6"/>
      <c r="D88" s="6"/>
      <c r="E88" s="6"/>
      <c r="F88" s="6"/>
      <c r="G88" s="6"/>
      <c r="H88" s="6"/>
      <c r="I88" s="6"/>
      <c r="J88" s="6"/>
      <c r="K88" s="6"/>
    </row>
    <row r="89" spans="1:11" x14ac:dyDescent="0.25">
      <c r="A89" s="6"/>
      <c r="B89" s="6"/>
      <c r="C89" s="6"/>
      <c r="D89" s="6"/>
      <c r="E89" s="6"/>
      <c r="F89" s="6"/>
      <c r="G89" s="6"/>
      <c r="H89" s="6"/>
      <c r="I89" s="6"/>
      <c r="J89" s="6"/>
      <c r="K89" s="6"/>
    </row>
    <row r="90" spans="1:11" x14ac:dyDescent="0.25">
      <c r="A90" s="6"/>
      <c r="B90" s="6"/>
      <c r="C90" s="6"/>
      <c r="D90" s="6"/>
      <c r="E90" s="6"/>
      <c r="F90" s="6"/>
      <c r="G90" s="6"/>
      <c r="H90" s="6"/>
      <c r="I90" s="6"/>
      <c r="J90" s="6"/>
      <c r="K90" s="6"/>
    </row>
    <row r="91" spans="1:11" x14ac:dyDescent="0.25">
      <c r="A91" s="6"/>
      <c r="B91" s="6"/>
      <c r="C91" s="6"/>
      <c r="D91" s="6"/>
      <c r="E91" s="6"/>
      <c r="F91" s="6"/>
      <c r="G91" s="6"/>
      <c r="H91" s="6"/>
      <c r="I91" s="6"/>
      <c r="J91" s="6"/>
      <c r="K91" s="6"/>
    </row>
    <row r="92" spans="1:11" x14ac:dyDescent="0.25">
      <c r="A92" s="6"/>
      <c r="B92" s="6"/>
      <c r="C92" s="6"/>
      <c r="D92" s="6"/>
      <c r="E92" s="6"/>
      <c r="F92" s="6"/>
      <c r="G92" s="6"/>
      <c r="H92" s="6"/>
      <c r="I92" s="6"/>
      <c r="J92" s="6"/>
      <c r="K92" s="6"/>
    </row>
    <row r="93" spans="1:11" x14ac:dyDescent="0.25">
      <c r="A93" s="6"/>
      <c r="B93" s="6"/>
      <c r="C93" s="6"/>
      <c r="D93" s="6"/>
      <c r="E93" s="6"/>
      <c r="F93" s="6"/>
      <c r="G93" s="6"/>
      <c r="H93" s="6"/>
      <c r="I93" s="6"/>
      <c r="J93" s="6"/>
      <c r="K93" s="6"/>
    </row>
    <row r="94" spans="1:11" x14ac:dyDescent="0.25">
      <c r="A94" s="6"/>
      <c r="B94" s="6"/>
      <c r="C94" s="6"/>
      <c r="D94" s="6"/>
      <c r="E94" s="6"/>
      <c r="F94" s="6"/>
      <c r="G94" s="6"/>
      <c r="H94" s="6"/>
      <c r="I94" s="6"/>
      <c r="J94" s="6"/>
      <c r="K94" s="6"/>
    </row>
    <row r="95" spans="1:11" x14ac:dyDescent="0.25">
      <c r="A95" s="6"/>
      <c r="B95" s="6"/>
      <c r="C95" s="6"/>
      <c r="D95" s="6"/>
      <c r="E95" s="6"/>
      <c r="F95" s="6"/>
      <c r="G95" s="6"/>
      <c r="H95" s="6"/>
      <c r="I95" s="6"/>
      <c r="J95" s="6"/>
      <c r="K95" s="6"/>
    </row>
    <row r="96" spans="1:11" x14ac:dyDescent="0.25">
      <c r="A96" s="6"/>
      <c r="B96" s="6"/>
      <c r="C96" s="6"/>
      <c r="D96" s="6"/>
      <c r="E96" s="6"/>
      <c r="F96" s="6"/>
      <c r="G96" s="6"/>
      <c r="H96" s="6"/>
      <c r="I96" s="6"/>
      <c r="J96" s="6"/>
      <c r="K96" s="6"/>
    </row>
    <row r="97" spans="1:11" x14ac:dyDescent="0.25">
      <c r="A97" s="6"/>
      <c r="B97" s="6"/>
      <c r="C97" s="6"/>
      <c r="D97" s="6"/>
      <c r="E97" s="6"/>
      <c r="F97" s="6"/>
      <c r="G97" s="6"/>
      <c r="H97" s="6"/>
      <c r="I97" s="6"/>
      <c r="J97" s="6"/>
      <c r="K97" s="6"/>
    </row>
    <row r="98" spans="1:11" x14ac:dyDescent="0.25">
      <c r="A98" s="6"/>
      <c r="B98" s="6"/>
      <c r="C98" s="6"/>
      <c r="D98" s="6"/>
      <c r="E98" s="6"/>
      <c r="F98" s="6"/>
      <c r="G98" s="6"/>
      <c r="H98" s="6"/>
      <c r="I98" s="6"/>
      <c r="J98" s="6"/>
      <c r="K98" s="6"/>
    </row>
    <row r="99" spans="1:11" x14ac:dyDescent="0.25">
      <c r="A99" s="6"/>
      <c r="B99" s="6"/>
      <c r="C99" s="6"/>
      <c r="D99" s="6"/>
      <c r="E99" s="6"/>
      <c r="F99" s="6"/>
      <c r="G99" s="6"/>
      <c r="H99" s="6"/>
      <c r="I99" s="6"/>
      <c r="J99" s="6"/>
      <c r="K99" s="6"/>
    </row>
    <row r="100" spans="1:11" x14ac:dyDescent="0.25">
      <c r="A100" s="6"/>
      <c r="B100" s="6"/>
      <c r="C100" s="6"/>
      <c r="D100" s="6"/>
      <c r="E100" s="6"/>
      <c r="F100" s="6"/>
      <c r="G100" s="6"/>
      <c r="H100" s="6"/>
      <c r="I100" s="6"/>
      <c r="J100" s="6"/>
      <c r="K100" s="6"/>
    </row>
    <row r="101" spans="1:11" x14ac:dyDescent="0.25">
      <c r="A101" s="6"/>
      <c r="B101" s="6"/>
      <c r="C101" s="6"/>
      <c r="D101" s="6"/>
      <c r="E101" s="6"/>
      <c r="F101" s="6"/>
      <c r="G101" s="6"/>
      <c r="H101" s="6"/>
      <c r="I101" s="6"/>
      <c r="J101" s="6"/>
      <c r="K101" s="6"/>
    </row>
    <row r="102" spans="1:11" x14ac:dyDescent="0.25">
      <c r="A102" s="6"/>
      <c r="B102" s="6"/>
      <c r="C102" s="6"/>
      <c r="D102" s="6"/>
      <c r="E102" s="6"/>
      <c r="F102" s="6"/>
      <c r="G102" s="6"/>
      <c r="H102" s="6"/>
      <c r="I102" s="6"/>
      <c r="J102" s="6"/>
      <c r="K102" s="6"/>
    </row>
    <row r="103" spans="1:11" x14ac:dyDescent="0.25">
      <c r="A103" s="6"/>
      <c r="B103" s="6"/>
      <c r="C103" s="6"/>
      <c r="D103" s="6"/>
      <c r="E103" s="6"/>
      <c r="F103" s="6"/>
      <c r="G103" s="6"/>
      <c r="H103" s="6"/>
      <c r="I103" s="6"/>
      <c r="J103" s="6"/>
      <c r="K103" s="6"/>
    </row>
    <row r="104" spans="1:11" x14ac:dyDescent="0.25">
      <c r="A104" s="6"/>
      <c r="B104" s="6"/>
      <c r="C104" s="6"/>
      <c r="D104" s="6"/>
      <c r="E104" s="6"/>
      <c r="F104" s="6"/>
      <c r="G104" s="6"/>
      <c r="H104" s="6"/>
      <c r="I104" s="6"/>
      <c r="J104" s="6"/>
      <c r="K104" s="6"/>
    </row>
    <row r="105" spans="1:11" x14ac:dyDescent="0.25">
      <c r="A105" s="6"/>
      <c r="B105" s="6"/>
      <c r="C105" s="6"/>
      <c r="D105" s="6"/>
      <c r="E105" s="6"/>
      <c r="F105" s="6"/>
      <c r="G105" s="6"/>
      <c r="H105" s="6"/>
      <c r="I105" s="6"/>
      <c r="J105" s="6"/>
      <c r="K105" s="6"/>
    </row>
    <row r="106" spans="1:11" x14ac:dyDescent="0.25">
      <c r="A106" s="6"/>
      <c r="B106" s="6"/>
      <c r="C106" s="6"/>
      <c r="D106" s="6"/>
      <c r="E106" s="6"/>
      <c r="F106" s="6"/>
      <c r="G106" s="6"/>
      <c r="H106" s="6"/>
      <c r="I106" s="6"/>
      <c r="J106" s="6"/>
      <c r="K106" s="6"/>
    </row>
    <row r="107" spans="1:11" x14ac:dyDescent="0.25">
      <c r="A107" s="6"/>
      <c r="B107" s="6"/>
      <c r="C107" s="6"/>
      <c r="D107" s="6"/>
      <c r="E107" s="6"/>
      <c r="F107" s="6"/>
      <c r="G107" s="6"/>
      <c r="H107" s="6"/>
      <c r="I107" s="6"/>
      <c r="J107" s="6"/>
      <c r="K107" s="6"/>
    </row>
    <row r="108" spans="1:11" x14ac:dyDescent="0.25">
      <c r="A108" s="6"/>
      <c r="B108" s="6"/>
      <c r="C108" s="6"/>
      <c r="D108" s="6"/>
      <c r="E108" s="6"/>
      <c r="F108" s="6"/>
      <c r="G108" s="6"/>
      <c r="H108" s="6"/>
      <c r="I108" s="6"/>
      <c r="J108" s="6"/>
      <c r="K108" s="6"/>
    </row>
    <row r="109" spans="1:11" x14ac:dyDescent="0.25">
      <c r="A109" s="6"/>
      <c r="B109" s="6"/>
      <c r="C109" s="6"/>
      <c r="D109" s="6"/>
      <c r="E109" s="6"/>
      <c r="F109" s="6"/>
      <c r="G109" s="6"/>
      <c r="H109" s="6"/>
      <c r="I109" s="6"/>
      <c r="J109" s="6"/>
      <c r="K109" s="6"/>
    </row>
    <row r="110" spans="1:11" x14ac:dyDescent="0.25">
      <c r="A110" s="6"/>
      <c r="B110" s="6"/>
      <c r="C110" s="6"/>
      <c r="D110" s="6"/>
      <c r="E110" s="6"/>
      <c r="F110" s="6"/>
      <c r="G110" s="6"/>
      <c r="H110" s="6"/>
      <c r="I110" s="6"/>
      <c r="J110" s="6"/>
      <c r="K110" s="6"/>
    </row>
    <row r="111" spans="1:11" x14ac:dyDescent="0.25">
      <c r="A111" s="6"/>
      <c r="B111" s="6"/>
      <c r="C111" s="6"/>
      <c r="D111" s="6"/>
      <c r="E111" s="6"/>
      <c r="F111" s="6"/>
      <c r="G111" s="6"/>
      <c r="H111" s="6"/>
      <c r="I111" s="6"/>
      <c r="J111" s="6"/>
      <c r="K111" s="6"/>
    </row>
    <row r="112" spans="1:11" x14ac:dyDescent="0.25">
      <c r="A112" s="6"/>
      <c r="B112" s="6"/>
      <c r="C112" s="6"/>
      <c r="D112" s="6"/>
      <c r="E112" s="6"/>
      <c r="F112" s="6"/>
      <c r="G112" s="6"/>
      <c r="H112" s="6"/>
      <c r="I112" s="6"/>
      <c r="J112" s="6"/>
      <c r="K112" s="6"/>
    </row>
    <row r="113" spans="1:11" x14ac:dyDescent="0.25">
      <c r="A113" s="6"/>
      <c r="B113" s="6"/>
      <c r="C113" s="6"/>
      <c r="D113" s="6"/>
      <c r="E113" s="6"/>
      <c r="F113" s="6"/>
      <c r="G113" s="6"/>
      <c r="H113" s="6"/>
      <c r="I113" s="6"/>
      <c r="J113" s="6"/>
      <c r="K113" s="6"/>
    </row>
    <row r="114" spans="1:11" x14ac:dyDescent="0.25">
      <c r="A114" s="6"/>
      <c r="B114" s="6"/>
      <c r="C114" s="6"/>
      <c r="D114" s="6"/>
      <c r="E114" s="6"/>
      <c r="F114" s="6"/>
      <c r="G114" s="6"/>
      <c r="H114" s="6"/>
      <c r="I114" s="6"/>
      <c r="J114" s="6"/>
      <c r="K114" s="6"/>
    </row>
    <row r="115" spans="1:11" x14ac:dyDescent="0.25">
      <c r="A115" s="6"/>
      <c r="B115" s="6"/>
      <c r="C115" s="6"/>
      <c r="D115" s="6"/>
      <c r="E115" s="6"/>
      <c r="F115" s="6"/>
      <c r="G115" s="6"/>
      <c r="H115" s="6"/>
      <c r="I115" s="6"/>
      <c r="J115" s="6"/>
      <c r="K115" s="6"/>
    </row>
    <row r="116" spans="1:11" x14ac:dyDescent="0.25">
      <c r="A116" s="6"/>
      <c r="B116" s="6"/>
      <c r="C116" s="6"/>
      <c r="D116" s="6"/>
      <c r="E116" s="6"/>
      <c r="F116" s="6"/>
      <c r="G116" s="6"/>
      <c r="H116" s="6"/>
      <c r="I116" s="6"/>
      <c r="J116" s="6"/>
      <c r="K116" s="6"/>
    </row>
    <row r="117" spans="1:11" x14ac:dyDescent="0.25">
      <c r="A117" s="6"/>
      <c r="B117" s="6"/>
      <c r="C117" s="6"/>
      <c r="D117" s="6"/>
      <c r="E117" s="6"/>
      <c r="F117" s="6"/>
      <c r="G117" s="6"/>
      <c r="H117" s="6"/>
      <c r="I117" s="6"/>
      <c r="J117" s="6"/>
      <c r="K117" s="6"/>
    </row>
    <row r="118" spans="1:11" x14ac:dyDescent="0.25">
      <c r="A118" s="6"/>
      <c r="B118" s="6"/>
      <c r="C118" s="6"/>
      <c r="D118" s="6"/>
      <c r="E118" s="6"/>
      <c r="F118" s="6"/>
      <c r="G118" s="6"/>
      <c r="H118" s="6"/>
      <c r="I118" s="6"/>
      <c r="J118" s="6"/>
      <c r="K118" s="6"/>
    </row>
    <row r="119" spans="1:11" x14ac:dyDescent="0.25">
      <c r="A119" s="6"/>
      <c r="B119" s="6"/>
      <c r="C119" s="6"/>
      <c r="D119" s="6"/>
      <c r="E119" s="6"/>
      <c r="F119" s="6"/>
      <c r="G119" s="6"/>
      <c r="H119" s="6"/>
      <c r="I119" s="6"/>
      <c r="J119" s="6"/>
      <c r="K119" s="6"/>
    </row>
    <row r="120" spans="1:11" x14ac:dyDescent="0.25">
      <c r="A120" s="6"/>
      <c r="B120" s="6"/>
      <c r="C120" s="6"/>
      <c r="D120" s="6"/>
      <c r="E120" s="6"/>
      <c r="F120" s="6"/>
      <c r="G120" s="6"/>
      <c r="H120" s="6"/>
      <c r="I120" s="6"/>
      <c r="J120" s="6"/>
      <c r="K120" s="6"/>
    </row>
    <row r="121" spans="1:11" x14ac:dyDescent="0.25">
      <c r="A121" s="6"/>
      <c r="B121" s="6"/>
      <c r="C121" s="6"/>
      <c r="D121" s="6"/>
      <c r="E121" s="6"/>
      <c r="F121" s="6"/>
      <c r="G121" s="6"/>
      <c r="H121" s="6"/>
      <c r="I121" s="6"/>
      <c r="J121" s="6"/>
      <c r="K121" s="6"/>
    </row>
    <row r="122" spans="1:11" x14ac:dyDescent="0.25">
      <c r="A122" s="6"/>
      <c r="B122" s="6"/>
      <c r="C122" s="6"/>
      <c r="D122" s="6"/>
      <c r="E122" s="6"/>
      <c r="F122" s="6"/>
      <c r="G122" s="6"/>
      <c r="H122" s="6"/>
      <c r="I122" s="6"/>
      <c r="J122" s="6"/>
      <c r="K122" s="6"/>
    </row>
    <row r="123" spans="1:11" x14ac:dyDescent="0.25">
      <c r="A123" s="6"/>
      <c r="B123" s="6"/>
      <c r="C123" s="6"/>
      <c r="D123" s="6"/>
      <c r="E123" s="6"/>
      <c r="F123" s="6"/>
      <c r="G123" s="6"/>
      <c r="H123" s="6"/>
      <c r="I123" s="6"/>
      <c r="J123" s="6"/>
      <c r="K123" s="6"/>
    </row>
    <row r="124" spans="1:11" x14ac:dyDescent="0.25">
      <c r="A124" s="6"/>
      <c r="B124" s="6"/>
      <c r="C124" s="6"/>
      <c r="D124" s="6"/>
      <c r="E124" s="6"/>
      <c r="F124" s="6"/>
      <c r="G124" s="6"/>
      <c r="H124" s="6"/>
      <c r="I124" s="6"/>
      <c r="J124" s="6"/>
      <c r="K124" s="6"/>
    </row>
    <row r="125" spans="1:11" x14ac:dyDescent="0.25">
      <c r="A125" s="6"/>
      <c r="B125" s="6"/>
      <c r="C125" s="6"/>
      <c r="D125" s="6"/>
      <c r="E125" s="6"/>
      <c r="F125" s="6"/>
      <c r="G125" s="6"/>
      <c r="H125" s="6"/>
      <c r="I125" s="6"/>
      <c r="J125" s="6"/>
      <c r="K125" s="6"/>
    </row>
    <row r="126" spans="1:11" x14ac:dyDescent="0.25">
      <c r="A126" s="6"/>
      <c r="B126" s="6"/>
      <c r="C126" s="6"/>
      <c r="D126" s="6"/>
      <c r="E126" s="6"/>
      <c r="F126" s="6"/>
      <c r="G126" s="6"/>
      <c r="H126" s="6"/>
      <c r="I126" s="6"/>
      <c r="J126" s="6"/>
      <c r="K126" s="6"/>
    </row>
    <row r="127" spans="1:11" x14ac:dyDescent="0.25">
      <c r="A127" s="6"/>
      <c r="B127" s="6"/>
      <c r="C127" s="6"/>
      <c r="D127" s="6"/>
      <c r="E127" s="6"/>
      <c r="F127" s="6"/>
      <c r="G127" s="6"/>
      <c r="H127" s="6"/>
      <c r="I127" s="6"/>
      <c r="J127" s="6"/>
      <c r="K127" s="6"/>
    </row>
    <row r="128" spans="1:11" x14ac:dyDescent="0.25">
      <c r="A128" s="6"/>
      <c r="B128" s="6"/>
      <c r="C128" s="6"/>
      <c r="D128" s="6"/>
      <c r="E128" s="6"/>
      <c r="F128" s="6"/>
      <c r="G128" s="6"/>
      <c r="H128" s="6"/>
      <c r="I128" s="6"/>
      <c r="J128" s="6"/>
      <c r="K128" s="6"/>
    </row>
    <row r="129" spans="1:11" x14ac:dyDescent="0.25">
      <c r="A129" s="6"/>
      <c r="B129" s="6"/>
      <c r="C129" s="6"/>
      <c r="D129" s="6"/>
      <c r="E129" s="6"/>
      <c r="F129" s="6"/>
      <c r="G129" s="6"/>
      <c r="H129" s="6"/>
      <c r="I129" s="6"/>
      <c r="J129" s="6"/>
      <c r="K129" s="6"/>
    </row>
    <row r="130" spans="1:11" x14ac:dyDescent="0.25">
      <c r="A130" s="6"/>
      <c r="B130" s="6"/>
      <c r="C130" s="6"/>
      <c r="D130" s="6"/>
      <c r="E130" s="6"/>
      <c r="F130" s="6"/>
      <c r="G130" s="6"/>
      <c r="H130" s="6"/>
      <c r="I130" s="6"/>
      <c r="J130" s="6"/>
      <c r="K130" s="6"/>
    </row>
    <row r="131" spans="1:11" x14ac:dyDescent="0.25">
      <c r="A131" s="6"/>
      <c r="B131" s="6"/>
      <c r="C131" s="6"/>
      <c r="D131" s="6"/>
      <c r="E131" s="6"/>
      <c r="F131" s="6"/>
      <c r="G131" s="6"/>
      <c r="H131" s="6"/>
      <c r="I131" s="6"/>
      <c r="J131" s="6"/>
      <c r="K131" s="6"/>
    </row>
    <row r="132" spans="1:11" x14ac:dyDescent="0.25">
      <c r="A132" s="6"/>
      <c r="B132" s="6"/>
      <c r="C132" s="6"/>
      <c r="D132" s="6"/>
      <c r="E132" s="6"/>
      <c r="F132" s="6"/>
      <c r="G132" s="6"/>
      <c r="H132" s="6"/>
      <c r="I132" s="6"/>
      <c r="J132" s="6"/>
      <c r="K132" s="6"/>
    </row>
    <row r="133" spans="1:11" x14ac:dyDescent="0.25">
      <c r="A133" s="6"/>
      <c r="B133" s="6"/>
      <c r="C133" s="6"/>
      <c r="D133" s="6"/>
      <c r="E133" s="6"/>
      <c r="F133" s="6"/>
      <c r="G133" s="6"/>
      <c r="H133" s="6"/>
      <c r="I133" s="6"/>
      <c r="J133" s="6"/>
      <c r="K133" s="6"/>
    </row>
    <row r="134" spans="1:11" x14ac:dyDescent="0.25">
      <c r="A134" s="6"/>
      <c r="B134" s="6"/>
      <c r="C134" s="6"/>
      <c r="D134" s="6"/>
      <c r="E134" s="6"/>
      <c r="F134" s="6"/>
      <c r="G134" s="6"/>
      <c r="H134" s="6"/>
      <c r="I134" s="6"/>
      <c r="J134" s="6"/>
      <c r="K134" s="6"/>
    </row>
    <row r="135" spans="1:11" x14ac:dyDescent="0.25">
      <c r="A135" s="6"/>
      <c r="B135" s="6"/>
      <c r="C135" s="6"/>
      <c r="D135" s="6"/>
      <c r="E135" s="6"/>
      <c r="F135" s="6"/>
      <c r="G135" s="6"/>
      <c r="H135" s="6"/>
      <c r="I135" s="6"/>
      <c r="J135" s="6"/>
      <c r="K135" s="6"/>
    </row>
    <row r="136" spans="1:11" x14ac:dyDescent="0.25">
      <c r="A136" s="6"/>
      <c r="B136" s="6"/>
      <c r="C136" s="6"/>
      <c r="D136" s="6"/>
      <c r="E136" s="6"/>
      <c r="F136" s="6"/>
      <c r="G136" s="6"/>
      <c r="H136" s="6"/>
      <c r="I136" s="6"/>
      <c r="J136" s="6"/>
      <c r="K136" s="6"/>
    </row>
    <row r="137" spans="1:11" x14ac:dyDescent="0.25">
      <c r="A137" s="6"/>
      <c r="B137" s="6"/>
      <c r="C137" s="6"/>
      <c r="D137" s="6"/>
      <c r="E137" s="6"/>
      <c r="F137" s="6"/>
      <c r="G137" s="6"/>
      <c r="H137" s="6"/>
      <c r="I137" s="6"/>
      <c r="J137" s="6"/>
      <c r="K137" s="6"/>
    </row>
    <row r="138" spans="1:11" x14ac:dyDescent="0.25">
      <c r="A138" s="6"/>
      <c r="B138" s="6"/>
      <c r="C138" s="6"/>
      <c r="D138" s="6"/>
      <c r="E138" s="6"/>
      <c r="F138" s="6"/>
      <c r="G138" s="6"/>
      <c r="H138" s="6"/>
      <c r="I138" s="6"/>
      <c r="J138" s="6"/>
      <c r="K138" s="6"/>
    </row>
    <row r="139" spans="1:11" x14ac:dyDescent="0.25">
      <c r="A139" s="6"/>
      <c r="B139" s="6"/>
      <c r="C139" s="6"/>
      <c r="D139" s="6"/>
      <c r="E139" s="6"/>
      <c r="F139" s="6"/>
      <c r="G139" s="6"/>
      <c r="H139" s="6"/>
      <c r="I139" s="6"/>
      <c r="J139" s="6"/>
      <c r="K139" s="6"/>
    </row>
    <row r="140" spans="1:11" x14ac:dyDescent="0.25">
      <c r="A140" s="6"/>
      <c r="B140" s="6"/>
      <c r="C140" s="6"/>
      <c r="D140" s="6"/>
      <c r="E140" s="6"/>
      <c r="F140" s="6"/>
      <c r="G140" s="6"/>
      <c r="H140" s="6"/>
      <c r="I140" s="6"/>
      <c r="J140" s="6"/>
      <c r="K140" s="6"/>
    </row>
    <row r="141" spans="1:11" x14ac:dyDescent="0.25">
      <c r="A141" s="6"/>
      <c r="B141" s="6"/>
      <c r="C141" s="6"/>
      <c r="D141" s="6"/>
      <c r="E141" s="6"/>
      <c r="F141" s="6"/>
      <c r="G141" s="6"/>
      <c r="H141" s="6"/>
      <c r="I141" s="6"/>
      <c r="J141" s="6"/>
      <c r="K141" s="6"/>
    </row>
    <row r="142" spans="1:11" x14ac:dyDescent="0.25">
      <c r="A142" s="6"/>
      <c r="B142" s="6"/>
      <c r="C142" s="6"/>
      <c r="D142" s="6"/>
      <c r="E142" s="6"/>
      <c r="F142" s="6"/>
      <c r="G142" s="6"/>
      <c r="H142" s="6"/>
      <c r="I142" s="6"/>
      <c r="J142" s="6"/>
      <c r="K142" s="6"/>
    </row>
    <row r="143" spans="1:11" x14ac:dyDescent="0.25">
      <c r="A143" s="6"/>
      <c r="B143" s="6"/>
      <c r="C143" s="6"/>
      <c r="D143" s="6"/>
      <c r="E143" s="6"/>
      <c r="F143" s="6"/>
      <c r="G143" s="6"/>
      <c r="H143" s="6"/>
      <c r="I143" s="6"/>
      <c r="J143" s="6"/>
      <c r="K143" s="6"/>
    </row>
    <row r="144" spans="1:11" x14ac:dyDescent="0.25">
      <c r="A144" s="6"/>
      <c r="B144" s="6"/>
      <c r="C144" s="6"/>
      <c r="D144" s="6"/>
      <c r="E144" s="6"/>
      <c r="F144" s="6"/>
      <c r="G144" s="6"/>
      <c r="H144" s="6"/>
      <c r="I144" s="6"/>
      <c r="J144" s="6"/>
      <c r="K144" s="6"/>
    </row>
    <row r="145" spans="1:11" x14ac:dyDescent="0.25">
      <c r="A145" s="6"/>
      <c r="B145" s="6"/>
      <c r="C145" s="6"/>
      <c r="D145" s="6"/>
      <c r="E145" s="6"/>
      <c r="F145" s="6"/>
      <c r="G145" s="6"/>
      <c r="H145" s="6"/>
      <c r="I145" s="6"/>
      <c r="J145" s="6"/>
      <c r="K145" s="6"/>
    </row>
    <row r="146" spans="1:11" x14ac:dyDescent="0.25">
      <c r="A146" s="6"/>
      <c r="B146" s="6"/>
      <c r="C146" s="6"/>
      <c r="D146" s="6"/>
      <c r="E146" s="6"/>
      <c r="F146" s="6"/>
      <c r="G146" s="6"/>
      <c r="H146" s="6"/>
      <c r="I146" s="6"/>
      <c r="J146" s="6"/>
      <c r="K146" s="6"/>
    </row>
    <row r="147" spans="1:11" x14ac:dyDescent="0.25">
      <c r="A147" s="6"/>
      <c r="B147" s="6"/>
      <c r="C147" s="6"/>
      <c r="D147" s="6"/>
      <c r="E147" s="6"/>
      <c r="F147" s="6"/>
      <c r="G147" s="6"/>
      <c r="H147" s="6"/>
      <c r="I147" s="6"/>
      <c r="J147" s="6"/>
      <c r="K147" s="6"/>
    </row>
    <row r="148" spans="1:11" x14ac:dyDescent="0.25">
      <c r="A148" s="6"/>
      <c r="B148" s="6"/>
      <c r="C148" s="6"/>
      <c r="D148" s="6"/>
      <c r="E148" s="6"/>
      <c r="F148" s="6"/>
      <c r="G148" s="6"/>
      <c r="H148" s="6"/>
      <c r="I148" s="6"/>
      <c r="J148" s="6"/>
      <c r="K148" s="6"/>
    </row>
    <row r="149" spans="1:11" x14ac:dyDescent="0.25">
      <c r="A149" s="6"/>
      <c r="B149" s="6"/>
      <c r="C149" s="6"/>
      <c r="D149" s="6"/>
      <c r="E149" s="6"/>
      <c r="F149" s="6"/>
      <c r="G149" s="6"/>
      <c r="H149" s="6"/>
      <c r="I149" s="6"/>
      <c r="J149" s="6"/>
      <c r="K149" s="6"/>
    </row>
    <row r="150" spans="1:11" x14ac:dyDescent="0.25">
      <c r="A150" s="6"/>
      <c r="B150" s="6"/>
      <c r="C150" s="6"/>
      <c r="D150" s="6"/>
      <c r="E150" s="6"/>
      <c r="F150" s="6"/>
      <c r="G150" s="6"/>
      <c r="H150" s="6"/>
      <c r="I150" s="6"/>
      <c r="J150" s="6"/>
      <c r="K150" s="6"/>
    </row>
    <row r="151" spans="1:11" x14ac:dyDescent="0.25">
      <c r="A151" s="6"/>
      <c r="B151" s="6"/>
      <c r="C151" s="6"/>
      <c r="D151" s="6"/>
      <c r="E151" s="6"/>
      <c r="F151" s="6"/>
      <c r="G151" s="6"/>
      <c r="H151" s="6"/>
      <c r="I151" s="6"/>
      <c r="J151" s="6"/>
      <c r="K151" s="6"/>
    </row>
    <row r="152" spans="1:11" x14ac:dyDescent="0.25">
      <c r="A152" s="6"/>
      <c r="B152" s="6"/>
      <c r="C152" s="6"/>
      <c r="D152" s="6"/>
      <c r="E152" s="6"/>
      <c r="F152" s="6"/>
      <c r="G152" s="6"/>
      <c r="H152" s="6"/>
      <c r="I152" s="6"/>
      <c r="J152" s="6"/>
      <c r="K152" s="6"/>
    </row>
    <row r="153" spans="1:11" x14ac:dyDescent="0.25">
      <c r="A153" s="6"/>
      <c r="B153" s="6"/>
      <c r="C153" s="6"/>
      <c r="D153" s="6"/>
      <c r="E153" s="6"/>
      <c r="F153" s="6"/>
      <c r="G153" s="6"/>
      <c r="H153" s="6"/>
      <c r="I153" s="6"/>
      <c r="J153" s="6"/>
      <c r="K153" s="6"/>
    </row>
    <row r="154" spans="1:11" x14ac:dyDescent="0.25">
      <c r="A154" s="6"/>
      <c r="B154" s="6"/>
      <c r="C154" s="6"/>
      <c r="D154" s="6"/>
      <c r="E154" s="6"/>
      <c r="F154" s="6"/>
      <c r="G154" s="6"/>
      <c r="H154" s="6"/>
      <c r="I154" s="6"/>
      <c r="J154" s="6"/>
      <c r="K154" s="6"/>
    </row>
    <row r="155" spans="1:11" x14ac:dyDescent="0.25">
      <c r="A155" s="6"/>
      <c r="B155" s="6"/>
      <c r="C155" s="6"/>
      <c r="D155" s="6"/>
      <c r="E155" s="6"/>
      <c r="F155" s="6"/>
      <c r="G155" s="6"/>
      <c r="H155" s="6"/>
      <c r="I155" s="6"/>
      <c r="J155" s="6"/>
      <c r="K155" s="6"/>
    </row>
    <row r="156" spans="1:11" x14ac:dyDescent="0.25">
      <c r="A156" s="6"/>
      <c r="B156" s="6"/>
      <c r="C156" s="6"/>
      <c r="D156" s="6"/>
      <c r="E156" s="6"/>
      <c r="F156" s="6"/>
      <c r="G156" s="6"/>
      <c r="H156" s="6"/>
      <c r="I156" s="6"/>
      <c r="J156" s="6"/>
      <c r="K156" s="6"/>
    </row>
    <row r="157" spans="1:11" x14ac:dyDescent="0.25">
      <c r="A157" s="6"/>
      <c r="B157" s="6"/>
      <c r="C157" s="6"/>
      <c r="D157" s="6"/>
      <c r="E157" s="6"/>
      <c r="F157" s="6"/>
      <c r="G157" s="6"/>
      <c r="H157" s="6"/>
      <c r="I157" s="6"/>
      <c r="J157" s="6"/>
      <c r="K157" s="6"/>
    </row>
    <row r="158" spans="1:11" x14ac:dyDescent="0.25">
      <c r="A158" s="6"/>
      <c r="B158" s="6"/>
      <c r="C158" s="6"/>
      <c r="D158" s="6"/>
      <c r="E158" s="6"/>
      <c r="F158" s="6"/>
      <c r="G158" s="6"/>
      <c r="H158" s="6"/>
      <c r="I158" s="6"/>
      <c r="J158" s="6"/>
      <c r="K158" s="6"/>
    </row>
    <row r="159" spans="1:11" x14ac:dyDescent="0.25">
      <c r="A159" s="6"/>
      <c r="B159" s="6"/>
      <c r="C159" s="6"/>
      <c r="D159" s="6"/>
      <c r="E159" s="6"/>
      <c r="F159" s="6"/>
      <c r="G159" s="6"/>
      <c r="H159" s="6"/>
      <c r="I159" s="6"/>
      <c r="J159" s="6"/>
      <c r="K159" s="6"/>
    </row>
    <row r="160" spans="1:11" x14ac:dyDescent="0.25">
      <c r="A160" s="6"/>
      <c r="B160" s="6"/>
      <c r="C160" s="6"/>
      <c r="D160" s="6"/>
      <c r="E160" s="6"/>
      <c r="F160" s="6"/>
      <c r="G160" s="6"/>
      <c r="H160" s="6"/>
      <c r="I160" s="6"/>
      <c r="J160" s="6"/>
      <c r="K160" s="6"/>
    </row>
    <row r="161" spans="1:11" x14ac:dyDescent="0.25">
      <c r="A161" s="6"/>
      <c r="B161" s="6"/>
      <c r="C161" s="6"/>
      <c r="D161" s="6"/>
      <c r="E161" s="6"/>
      <c r="F161" s="6"/>
      <c r="G161" s="6"/>
      <c r="H161" s="6"/>
      <c r="I161" s="6"/>
      <c r="J161" s="6"/>
      <c r="K161" s="6"/>
    </row>
    <row r="162" spans="1:11" x14ac:dyDescent="0.25">
      <c r="A162" s="6"/>
      <c r="B162" s="6"/>
      <c r="C162" s="6"/>
      <c r="D162" s="6"/>
      <c r="E162" s="6"/>
      <c r="F162" s="6"/>
      <c r="G162" s="6"/>
      <c r="H162" s="6"/>
      <c r="I162" s="6"/>
      <c r="J162" s="6"/>
      <c r="K162" s="6"/>
    </row>
    <row r="163" spans="1:11" x14ac:dyDescent="0.25">
      <c r="A163" s="6"/>
      <c r="B163" s="6"/>
      <c r="C163" s="6"/>
      <c r="D163" s="6"/>
      <c r="E163" s="6"/>
      <c r="F163" s="6"/>
      <c r="G163" s="6"/>
      <c r="H163" s="6"/>
      <c r="I163" s="6"/>
      <c r="J163" s="6"/>
      <c r="K163" s="6"/>
    </row>
    <row r="164" spans="1:11" x14ac:dyDescent="0.25">
      <c r="A164" s="6"/>
      <c r="B164" s="6"/>
      <c r="C164" s="6"/>
      <c r="D164" s="6"/>
      <c r="E164" s="6"/>
      <c r="F164" s="6"/>
      <c r="G164" s="6"/>
      <c r="H164" s="6"/>
      <c r="I164" s="6"/>
      <c r="J164" s="6"/>
      <c r="K164" s="6"/>
    </row>
    <row r="165" spans="1:11" x14ac:dyDescent="0.25">
      <c r="A165" s="6"/>
      <c r="B165" s="6"/>
      <c r="C165" s="6"/>
      <c r="D165" s="6"/>
      <c r="E165" s="6"/>
      <c r="F165" s="6"/>
      <c r="G165" s="6"/>
      <c r="H165" s="6"/>
      <c r="I165" s="6"/>
      <c r="J165" s="6"/>
      <c r="K165" s="6"/>
    </row>
    <row r="166" spans="1:11" x14ac:dyDescent="0.25">
      <c r="A166" s="6"/>
      <c r="B166" s="6"/>
      <c r="C166" s="6"/>
      <c r="D166" s="6"/>
      <c r="E166" s="6"/>
      <c r="F166" s="6"/>
      <c r="G166" s="6"/>
      <c r="H166" s="6"/>
      <c r="I166" s="6"/>
      <c r="J166" s="6"/>
      <c r="K166" s="6"/>
    </row>
    <row r="167" spans="1:11" x14ac:dyDescent="0.25">
      <c r="A167" s="6"/>
      <c r="B167" s="6"/>
      <c r="C167" s="6"/>
      <c r="D167" s="6"/>
      <c r="E167" s="6"/>
      <c r="F167" s="6"/>
      <c r="G167" s="6"/>
      <c r="H167" s="6"/>
      <c r="I167" s="6"/>
      <c r="J167" s="6"/>
      <c r="K167" s="6"/>
    </row>
    <row r="168" spans="1:11" x14ac:dyDescent="0.25">
      <c r="A168" s="6"/>
      <c r="B168" s="6"/>
      <c r="C168" s="6"/>
      <c r="D168" s="6"/>
      <c r="E168" s="6"/>
      <c r="F168" s="6"/>
      <c r="G168" s="6"/>
      <c r="H168" s="6"/>
      <c r="I168" s="6"/>
      <c r="J168" s="6"/>
      <c r="K168" s="6"/>
    </row>
    <row r="169" spans="1:11" x14ac:dyDescent="0.25">
      <c r="A169" s="6"/>
      <c r="B169" s="6"/>
      <c r="C169" s="6"/>
      <c r="D169" s="6"/>
      <c r="E169" s="6"/>
      <c r="F169" s="6"/>
      <c r="G169" s="6"/>
      <c r="H169" s="6"/>
      <c r="I169" s="6"/>
      <c r="J169" s="6"/>
      <c r="K169" s="6"/>
    </row>
    <row r="170" spans="1:11" x14ac:dyDescent="0.25">
      <c r="A170" s="6"/>
      <c r="B170" s="6"/>
      <c r="C170" s="6"/>
      <c r="D170" s="6"/>
      <c r="E170" s="6"/>
      <c r="F170" s="6"/>
      <c r="G170" s="6"/>
      <c r="H170" s="6"/>
      <c r="I170" s="6"/>
      <c r="J170" s="6"/>
      <c r="K170" s="6"/>
    </row>
    <row r="171" spans="1:11" x14ac:dyDescent="0.25">
      <c r="A171" s="6"/>
      <c r="B171" s="6"/>
      <c r="C171" s="6"/>
      <c r="D171" s="6"/>
      <c r="E171" s="6"/>
      <c r="F171" s="6"/>
      <c r="G171" s="6"/>
      <c r="H171" s="6"/>
      <c r="I171" s="6"/>
      <c r="J171" s="6"/>
      <c r="K171" s="6"/>
    </row>
    <row r="172" spans="1:11" x14ac:dyDescent="0.25">
      <c r="A172" s="6"/>
      <c r="B172" s="6"/>
      <c r="C172" s="6"/>
      <c r="D172" s="6"/>
      <c r="E172" s="6"/>
      <c r="F172" s="6"/>
      <c r="G172" s="6"/>
      <c r="H172" s="6"/>
      <c r="I172" s="6"/>
      <c r="J172" s="6"/>
      <c r="K172" s="6"/>
    </row>
    <row r="173" spans="1:11" x14ac:dyDescent="0.25">
      <c r="A173" s="6"/>
      <c r="B173" s="6"/>
      <c r="C173" s="6"/>
      <c r="D173" s="6"/>
      <c r="E173" s="6"/>
      <c r="F173" s="6"/>
      <c r="G173" s="6"/>
      <c r="H173" s="6"/>
      <c r="I173" s="6"/>
      <c r="J173" s="6"/>
      <c r="K173" s="6"/>
    </row>
    <row r="174" spans="1:11" x14ac:dyDescent="0.25">
      <c r="A174" s="6"/>
      <c r="B174" s="6"/>
      <c r="C174" s="6"/>
      <c r="D174" s="6"/>
      <c r="E174" s="6"/>
      <c r="F174" s="6"/>
      <c r="G174" s="6"/>
      <c r="H174" s="6"/>
      <c r="I174" s="6"/>
      <c r="J174" s="6"/>
      <c r="K174" s="6"/>
    </row>
    <row r="175" spans="1:11" x14ac:dyDescent="0.25">
      <c r="A175" s="6"/>
      <c r="B175" s="6"/>
      <c r="C175" s="6"/>
      <c r="D175" s="6"/>
      <c r="E175" s="6"/>
      <c r="F175" s="6"/>
      <c r="G175" s="6"/>
      <c r="H175" s="6"/>
      <c r="I175" s="6"/>
      <c r="J175" s="6"/>
      <c r="K175" s="6"/>
    </row>
    <row r="176" spans="1:11" x14ac:dyDescent="0.25">
      <c r="A176" s="6"/>
      <c r="B176" s="6"/>
      <c r="C176" s="6"/>
      <c r="D176" s="6"/>
      <c r="E176" s="6"/>
      <c r="F176" s="6"/>
      <c r="G176" s="6"/>
      <c r="H176" s="6"/>
      <c r="I176" s="6"/>
      <c r="J176" s="6"/>
      <c r="K176" s="6"/>
    </row>
    <row r="177" spans="1:11" x14ac:dyDescent="0.25">
      <c r="A177" s="6"/>
      <c r="B177" s="6"/>
      <c r="C177" s="6"/>
      <c r="D177" s="6"/>
      <c r="E177" s="6"/>
      <c r="F177" s="6"/>
      <c r="G177" s="6"/>
      <c r="H177" s="6"/>
      <c r="I177" s="6"/>
      <c r="J177" s="6"/>
      <c r="K177" s="6"/>
    </row>
    <row r="178" spans="1:11" x14ac:dyDescent="0.25">
      <c r="A178" s="6"/>
      <c r="B178" s="6"/>
      <c r="C178" s="6"/>
      <c r="D178" s="6"/>
      <c r="E178" s="6"/>
      <c r="F178" s="6"/>
      <c r="G178" s="6"/>
      <c r="H178" s="6"/>
      <c r="I178" s="6"/>
      <c r="J178" s="6"/>
      <c r="K178" s="6"/>
    </row>
    <row r="179" spans="1:11" x14ac:dyDescent="0.25">
      <c r="A179" s="6"/>
      <c r="B179" s="6"/>
      <c r="C179" s="6"/>
      <c r="D179" s="6"/>
      <c r="E179" s="6"/>
      <c r="F179" s="6"/>
      <c r="G179" s="6"/>
      <c r="H179" s="6"/>
      <c r="I179" s="6"/>
      <c r="J179" s="6"/>
      <c r="K179" s="6"/>
    </row>
    <row r="180" spans="1:11" x14ac:dyDescent="0.25">
      <c r="A180" s="6"/>
      <c r="B180" s="6"/>
      <c r="C180" s="6"/>
      <c r="D180" s="6"/>
      <c r="E180" s="6"/>
      <c r="F180" s="6"/>
      <c r="G180" s="6"/>
      <c r="H180" s="6"/>
      <c r="I180" s="6"/>
      <c r="J180" s="6"/>
      <c r="K180" s="6"/>
    </row>
    <row r="181" spans="1:11" x14ac:dyDescent="0.25">
      <c r="A181" s="6"/>
      <c r="B181" s="6"/>
      <c r="C181" s="6"/>
      <c r="D181" s="6"/>
      <c r="E181" s="6"/>
      <c r="F181" s="6"/>
      <c r="G181" s="6"/>
      <c r="H181" s="6"/>
      <c r="I181" s="6"/>
      <c r="J181" s="6"/>
      <c r="K181" s="6"/>
    </row>
    <row r="182" spans="1:11" x14ac:dyDescent="0.25">
      <c r="A182" s="6"/>
      <c r="B182" s="6"/>
      <c r="C182" s="6"/>
      <c r="D182" s="6"/>
      <c r="E182" s="6"/>
      <c r="F182" s="6"/>
      <c r="G182" s="6"/>
      <c r="H182" s="6"/>
      <c r="I182" s="6"/>
      <c r="J182" s="6"/>
      <c r="K182" s="6"/>
    </row>
    <row r="183" spans="1:11" x14ac:dyDescent="0.25">
      <c r="A183" s="6"/>
      <c r="B183" s="6"/>
      <c r="C183" s="6"/>
      <c r="D183" s="6"/>
      <c r="E183" s="6"/>
      <c r="F183" s="6"/>
      <c r="G183" s="6"/>
      <c r="H183" s="6"/>
      <c r="I183" s="6"/>
      <c r="J183" s="6"/>
      <c r="K183" s="6"/>
    </row>
    <row r="184" spans="1:11" x14ac:dyDescent="0.25">
      <c r="A184" s="6"/>
      <c r="B184" s="6"/>
      <c r="C184" s="6"/>
      <c r="D184" s="6"/>
      <c r="E184" s="6"/>
      <c r="F184" s="6"/>
      <c r="G184" s="6"/>
      <c r="H184" s="6"/>
      <c r="I184" s="6"/>
      <c r="J184" s="6"/>
      <c r="K184" s="6"/>
    </row>
    <row r="185" spans="1:11" x14ac:dyDescent="0.25">
      <c r="A185" s="6"/>
      <c r="B185" s="6"/>
      <c r="C185" s="6"/>
      <c r="D185" s="6"/>
      <c r="E185" s="6"/>
      <c r="F185" s="6"/>
      <c r="G185" s="6"/>
      <c r="H185" s="6"/>
      <c r="I185" s="6"/>
      <c r="J185" s="6"/>
      <c r="K185" s="6"/>
    </row>
    <row r="186" spans="1:11" x14ac:dyDescent="0.25">
      <c r="A186" s="6"/>
      <c r="B186" s="6"/>
      <c r="C186" s="6"/>
      <c r="D186" s="6"/>
      <c r="E186" s="6"/>
      <c r="F186" s="6"/>
      <c r="G186" s="6"/>
      <c r="H186" s="6"/>
      <c r="I186" s="6"/>
      <c r="J186" s="6"/>
      <c r="K186" s="6"/>
    </row>
    <row r="187" spans="1:11" x14ac:dyDescent="0.25">
      <c r="A187" s="6"/>
      <c r="B187" s="6"/>
      <c r="C187" s="6"/>
      <c r="D187" s="6"/>
      <c r="E187" s="6"/>
      <c r="F187" s="6"/>
      <c r="G187" s="6"/>
      <c r="H187" s="6"/>
      <c r="I187" s="6"/>
      <c r="J187" s="6"/>
      <c r="K187" s="6"/>
    </row>
    <row r="188" spans="1:11" x14ac:dyDescent="0.25">
      <c r="A188" s="6"/>
      <c r="B188" s="6"/>
      <c r="C188" s="6"/>
      <c r="D188" s="6"/>
      <c r="E188" s="6"/>
      <c r="F188" s="6"/>
      <c r="G188" s="6"/>
      <c r="H188" s="6"/>
      <c r="I188" s="6"/>
      <c r="J188" s="6"/>
      <c r="K188" s="6"/>
    </row>
    <row r="189" spans="1:11" x14ac:dyDescent="0.25">
      <c r="A189" s="6"/>
      <c r="B189" s="6"/>
      <c r="C189" s="6"/>
      <c r="D189" s="6"/>
      <c r="E189" s="6"/>
      <c r="F189" s="6"/>
      <c r="G189" s="6"/>
      <c r="H189" s="6"/>
      <c r="I189" s="6"/>
      <c r="J189" s="6"/>
      <c r="K189" s="6"/>
    </row>
    <row r="190" spans="1:11" x14ac:dyDescent="0.25">
      <c r="A190" s="6"/>
      <c r="B190" s="6"/>
      <c r="C190" s="6"/>
      <c r="D190" s="6"/>
      <c r="E190" s="6"/>
      <c r="F190" s="6"/>
      <c r="G190" s="6"/>
      <c r="H190" s="6"/>
      <c r="I190" s="6"/>
      <c r="J190" s="6"/>
      <c r="K190" s="6"/>
    </row>
    <row r="191" spans="1:11" x14ac:dyDescent="0.25">
      <c r="A191" s="6"/>
      <c r="B191" s="6"/>
      <c r="C191" s="6"/>
      <c r="D191" s="6"/>
      <c r="E191" s="6"/>
      <c r="F191" s="6"/>
      <c r="G191" s="6"/>
      <c r="H191" s="6"/>
      <c r="I191" s="6"/>
      <c r="J191" s="6"/>
      <c r="K191" s="6"/>
    </row>
    <row r="192" spans="1:11" x14ac:dyDescent="0.25">
      <c r="A192" s="6"/>
      <c r="B192" s="6"/>
      <c r="C192" s="6"/>
      <c r="D192" s="6"/>
      <c r="E192" s="6"/>
      <c r="F192" s="6"/>
      <c r="G192" s="6"/>
      <c r="H192" s="6"/>
      <c r="I192" s="6"/>
      <c r="J192" s="6"/>
      <c r="K192" s="6"/>
    </row>
    <row r="193" spans="1:11" x14ac:dyDescent="0.25">
      <c r="A193" s="6"/>
      <c r="B193" s="6"/>
      <c r="C193" s="6"/>
      <c r="D193" s="6"/>
      <c r="E193" s="6"/>
      <c r="F193" s="6"/>
      <c r="G193" s="6"/>
      <c r="H193" s="6"/>
      <c r="I193" s="6"/>
      <c r="J193" s="6"/>
      <c r="K193" s="6"/>
    </row>
    <row r="194" spans="1:11" x14ac:dyDescent="0.25">
      <c r="A194" s="6"/>
      <c r="B194" s="6"/>
      <c r="C194" s="6"/>
      <c r="D194" s="6"/>
      <c r="E194" s="6"/>
      <c r="F194" s="6"/>
      <c r="G194" s="6"/>
      <c r="H194" s="6"/>
      <c r="I194" s="6"/>
      <c r="J194" s="6"/>
      <c r="K194" s="6"/>
    </row>
    <row r="195" spans="1:11" x14ac:dyDescent="0.25">
      <c r="A195" s="6"/>
      <c r="B195" s="6"/>
      <c r="C195" s="6"/>
      <c r="D195" s="6"/>
      <c r="E195" s="6"/>
      <c r="F195" s="6"/>
      <c r="G195" s="6"/>
      <c r="H195" s="6"/>
      <c r="I195" s="6"/>
      <c r="J195" s="6"/>
      <c r="K195" s="6"/>
    </row>
    <row r="196" spans="1:11" x14ac:dyDescent="0.25">
      <c r="A196" s="6"/>
      <c r="B196" s="6"/>
      <c r="C196" s="6"/>
      <c r="D196" s="6"/>
      <c r="E196" s="6"/>
      <c r="F196" s="6"/>
      <c r="G196" s="6"/>
      <c r="H196" s="6"/>
      <c r="I196" s="6"/>
      <c r="J196" s="6"/>
      <c r="K196" s="6"/>
    </row>
    <row r="197" spans="1:11" x14ac:dyDescent="0.25">
      <c r="A197" s="6"/>
      <c r="B197" s="6"/>
      <c r="C197" s="6"/>
      <c r="D197" s="6"/>
      <c r="E197" s="6"/>
      <c r="F197" s="6"/>
      <c r="G197" s="6"/>
      <c r="H197" s="6"/>
      <c r="I197" s="6"/>
      <c r="J197" s="6"/>
      <c r="K197" s="6"/>
    </row>
    <row r="198" spans="1:11" x14ac:dyDescent="0.25">
      <c r="A198" s="6"/>
      <c r="B198" s="6"/>
      <c r="C198" s="6"/>
      <c r="D198" s="6"/>
      <c r="E198" s="6"/>
      <c r="F198" s="6"/>
      <c r="G198" s="6"/>
      <c r="H198" s="6"/>
      <c r="I198" s="6"/>
      <c r="J198" s="6"/>
      <c r="K198" s="6"/>
    </row>
    <row r="199" spans="1:11" x14ac:dyDescent="0.25">
      <c r="A199" s="6"/>
      <c r="B199" s="6"/>
      <c r="C199" s="6"/>
      <c r="D199" s="6"/>
      <c r="E199" s="6"/>
      <c r="F199" s="6"/>
      <c r="G199" s="6"/>
      <c r="H199" s="6"/>
      <c r="I199" s="6"/>
      <c r="J199" s="6"/>
      <c r="K199" s="6"/>
    </row>
    <row r="200" spans="1:11" x14ac:dyDescent="0.25">
      <c r="A200" s="6"/>
      <c r="B200" s="6"/>
      <c r="C200" s="6"/>
      <c r="D200" s="6"/>
      <c r="E200" s="6"/>
      <c r="F200" s="6"/>
      <c r="G200" s="6"/>
      <c r="H200" s="6"/>
      <c r="I200" s="6"/>
      <c r="J200" s="6"/>
      <c r="K200" s="6"/>
    </row>
    <row r="201" spans="1:11" x14ac:dyDescent="0.25">
      <c r="A201" s="6"/>
      <c r="B201" s="6"/>
      <c r="C201" s="6"/>
      <c r="D201" s="6"/>
      <c r="E201" s="6"/>
      <c r="F201" s="6"/>
      <c r="G201" s="6"/>
      <c r="H201" s="6"/>
      <c r="I201" s="6"/>
      <c r="J201" s="6"/>
      <c r="K201" s="6"/>
    </row>
    <row r="202" spans="1:11" x14ac:dyDescent="0.25">
      <c r="A202" s="6"/>
      <c r="B202" s="6"/>
      <c r="C202" s="6"/>
      <c r="D202" s="6"/>
      <c r="E202" s="6"/>
      <c r="F202" s="6"/>
      <c r="G202" s="6"/>
      <c r="H202" s="6"/>
      <c r="I202" s="6"/>
      <c r="J202" s="6"/>
      <c r="K202" s="6"/>
    </row>
    <row r="203" spans="1:11" x14ac:dyDescent="0.25">
      <c r="A203" s="6"/>
      <c r="B203" s="6"/>
      <c r="C203" s="6"/>
      <c r="D203" s="6"/>
      <c r="E203" s="6"/>
      <c r="F203" s="6"/>
      <c r="G203" s="6"/>
      <c r="H203" s="6"/>
      <c r="I203" s="6"/>
      <c r="J203" s="6"/>
      <c r="K203" s="6"/>
    </row>
    <row r="204" spans="1:11" x14ac:dyDescent="0.25">
      <c r="A204" s="6"/>
      <c r="B204" s="6"/>
      <c r="C204" s="6"/>
      <c r="D204" s="6"/>
      <c r="E204" s="6"/>
      <c r="F204" s="6"/>
      <c r="G204" s="6"/>
      <c r="H204" s="6"/>
      <c r="I204" s="6"/>
      <c r="J204" s="6"/>
      <c r="K204" s="6"/>
    </row>
    <row r="205" spans="1:11" x14ac:dyDescent="0.25">
      <c r="A205" s="6"/>
      <c r="B205" s="6"/>
      <c r="C205" s="6"/>
      <c r="D205" s="6"/>
      <c r="E205" s="6"/>
      <c r="F205" s="6"/>
      <c r="G205" s="6"/>
      <c r="H205" s="6"/>
      <c r="I205" s="6"/>
      <c r="J205" s="6"/>
      <c r="K205" s="6"/>
    </row>
    <row r="206" spans="1:11" x14ac:dyDescent="0.25">
      <c r="A206" s="6"/>
      <c r="B206" s="6"/>
      <c r="C206" s="6"/>
      <c r="D206" s="6"/>
      <c r="E206" s="6"/>
      <c r="F206" s="6"/>
      <c r="G206" s="6"/>
      <c r="H206" s="6"/>
      <c r="I206" s="6"/>
      <c r="J206" s="6"/>
      <c r="K206" s="6"/>
    </row>
    <row r="207" spans="1:11" x14ac:dyDescent="0.25">
      <c r="A207" s="6"/>
      <c r="B207" s="6"/>
      <c r="C207" s="6"/>
      <c r="D207" s="6"/>
      <c r="E207" s="6"/>
      <c r="F207" s="6"/>
      <c r="G207" s="6"/>
      <c r="H207" s="6"/>
      <c r="I207" s="6"/>
      <c r="J207" s="6"/>
      <c r="K207" s="6"/>
    </row>
    <row r="208" spans="1:11" x14ac:dyDescent="0.25">
      <c r="A208" s="6"/>
      <c r="B208" s="6"/>
      <c r="C208" s="6"/>
      <c r="D208" s="6"/>
      <c r="E208" s="6"/>
      <c r="F208" s="6"/>
      <c r="G208" s="6"/>
      <c r="H208" s="6"/>
      <c r="I208" s="6"/>
      <c r="J208" s="6"/>
      <c r="K208" s="6"/>
    </row>
    <row r="209" spans="1:11" x14ac:dyDescent="0.25">
      <c r="A209" s="6"/>
      <c r="B209" s="6"/>
      <c r="C209" s="6"/>
      <c r="D209" s="6"/>
      <c r="E209" s="6"/>
      <c r="F209" s="6"/>
      <c r="G209" s="6"/>
      <c r="H209" s="6"/>
      <c r="I209" s="6"/>
      <c r="J209" s="6"/>
      <c r="K209" s="6"/>
    </row>
    <row r="210" spans="1:11" x14ac:dyDescent="0.25">
      <c r="A210" s="6"/>
      <c r="B210" s="6"/>
      <c r="C210" s="6"/>
      <c r="D210" s="6"/>
      <c r="E210" s="6"/>
      <c r="F210" s="6"/>
      <c r="G210" s="6"/>
      <c r="H210" s="6"/>
      <c r="I210" s="6"/>
      <c r="J210" s="6"/>
      <c r="K210" s="6"/>
    </row>
    <row r="211" spans="1:11" x14ac:dyDescent="0.25">
      <c r="A211" s="6"/>
      <c r="B211" s="6"/>
      <c r="C211" s="6"/>
      <c r="D211" s="6"/>
      <c r="E211" s="6"/>
      <c r="F211" s="6"/>
      <c r="G211" s="6"/>
      <c r="H211" s="6"/>
      <c r="I211" s="6"/>
      <c r="J211" s="6"/>
      <c r="K211" s="6"/>
    </row>
    <row r="212" spans="1:11" x14ac:dyDescent="0.25">
      <c r="A212" s="6"/>
      <c r="B212" s="6"/>
      <c r="C212" s="6"/>
      <c r="D212" s="6"/>
      <c r="E212" s="6"/>
      <c r="F212" s="6"/>
      <c r="G212" s="6"/>
      <c r="H212" s="6"/>
      <c r="I212" s="6"/>
      <c r="J212" s="6"/>
      <c r="K212" s="6"/>
    </row>
    <row r="213" spans="1:11" x14ac:dyDescent="0.25">
      <c r="A213" s="6"/>
      <c r="B213" s="6"/>
      <c r="C213" s="6"/>
      <c r="D213" s="6"/>
      <c r="E213" s="6"/>
      <c r="F213" s="6"/>
      <c r="G213" s="6"/>
      <c r="H213" s="6"/>
      <c r="I213" s="6"/>
      <c r="J213" s="6"/>
      <c r="K213" s="6"/>
    </row>
    <row r="214" spans="1:11" x14ac:dyDescent="0.25">
      <c r="A214" s="6"/>
      <c r="B214" s="6"/>
      <c r="C214" s="6"/>
      <c r="D214" s="6"/>
      <c r="E214" s="6"/>
      <c r="F214" s="6"/>
      <c r="G214" s="6"/>
      <c r="H214" s="6"/>
      <c r="I214" s="6"/>
      <c r="J214" s="6"/>
      <c r="K214" s="6"/>
    </row>
    <row r="215" spans="1:11" x14ac:dyDescent="0.25">
      <c r="A215" s="6"/>
      <c r="B215" s="6"/>
      <c r="C215" s="6"/>
      <c r="D215" s="6"/>
      <c r="E215" s="6"/>
      <c r="F215" s="6"/>
      <c r="G215" s="6"/>
      <c r="H215" s="6"/>
      <c r="I215" s="6"/>
      <c r="J215" s="6"/>
      <c r="K215" s="6"/>
    </row>
    <row r="216" spans="1:11" x14ac:dyDescent="0.25">
      <c r="A216" s="6"/>
      <c r="B216" s="6"/>
      <c r="C216" s="6"/>
      <c r="D216" s="6"/>
      <c r="E216" s="6"/>
      <c r="F216" s="6"/>
      <c r="G216" s="6"/>
      <c r="H216" s="6"/>
      <c r="I216" s="6"/>
      <c r="J216" s="6"/>
      <c r="K216" s="6"/>
    </row>
    <row r="217" spans="1:11" x14ac:dyDescent="0.25">
      <c r="A217" s="6"/>
      <c r="B217" s="6"/>
      <c r="C217" s="6"/>
      <c r="D217" s="6"/>
      <c r="E217" s="6"/>
      <c r="F217" s="6"/>
      <c r="G217" s="6"/>
      <c r="H217" s="6"/>
      <c r="I217" s="6"/>
      <c r="J217" s="6"/>
      <c r="K217" s="6"/>
    </row>
    <row r="218" spans="1:11" x14ac:dyDescent="0.25">
      <c r="A218" s="6"/>
      <c r="B218" s="6"/>
      <c r="C218" s="6"/>
      <c r="D218" s="6"/>
      <c r="E218" s="6"/>
      <c r="F218" s="6"/>
      <c r="G218" s="6"/>
      <c r="H218" s="6"/>
      <c r="I218" s="6"/>
      <c r="J218" s="6"/>
      <c r="K218" s="6"/>
    </row>
    <row r="219" spans="1:11" x14ac:dyDescent="0.25">
      <c r="A219" s="6"/>
      <c r="B219" s="6"/>
      <c r="C219" s="6"/>
      <c r="D219" s="6"/>
      <c r="E219" s="6"/>
      <c r="F219" s="6"/>
      <c r="G219" s="6"/>
      <c r="H219" s="6"/>
      <c r="I219" s="6"/>
      <c r="J219" s="6"/>
      <c r="K219" s="6"/>
    </row>
    <row r="220" spans="1:11" x14ac:dyDescent="0.25">
      <c r="A220" s="6"/>
      <c r="B220" s="6"/>
      <c r="C220" s="6"/>
      <c r="D220" s="6"/>
      <c r="E220" s="6"/>
      <c r="F220" s="6"/>
      <c r="G220" s="6"/>
      <c r="H220" s="6"/>
      <c r="I220" s="6"/>
      <c r="J220" s="6"/>
      <c r="K220" s="6"/>
    </row>
    <row r="221" spans="1:11" x14ac:dyDescent="0.25">
      <c r="A221" s="6"/>
      <c r="B221" s="6"/>
      <c r="C221" s="6"/>
      <c r="D221" s="6"/>
      <c r="E221" s="6"/>
      <c r="F221" s="6"/>
      <c r="G221" s="6"/>
      <c r="H221" s="6"/>
      <c r="I221" s="6"/>
      <c r="J221" s="6"/>
      <c r="K221" s="6"/>
    </row>
    <row r="222" spans="1:11" x14ac:dyDescent="0.25">
      <c r="A222" s="6"/>
      <c r="B222" s="6"/>
      <c r="C222" s="6"/>
      <c r="D222" s="6"/>
      <c r="E222" s="6"/>
      <c r="F222" s="6"/>
      <c r="G222" s="6"/>
      <c r="H222" s="6"/>
      <c r="I222" s="6"/>
      <c r="J222" s="6"/>
      <c r="K222" s="6"/>
    </row>
    <row r="223" spans="1:11" x14ac:dyDescent="0.25">
      <c r="A223" s="6"/>
      <c r="B223" s="6"/>
      <c r="C223" s="6"/>
      <c r="D223" s="6"/>
      <c r="E223" s="6"/>
      <c r="F223" s="6"/>
      <c r="G223" s="6"/>
      <c r="H223" s="6"/>
      <c r="I223" s="6"/>
      <c r="J223" s="6"/>
      <c r="K223" s="6"/>
    </row>
    <row r="224" spans="1:11" x14ac:dyDescent="0.25">
      <c r="A224" s="6"/>
      <c r="B224" s="6"/>
      <c r="C224" s="6"/>
      <c r="D224" s="6"/>
      <c r="E224" s="6"/>
      <c r="F224" s="6"/>
      <c r="G224" s="6"/>
      <c r="H224" s="6"/>
      <c r="I224" s="6"/>
      <c r="J224" s="6"/>
      <c r="K224" s="6"/>
    </row>
    <row r="225" spans="1:11" x14ac:dyDescent="0.25">
      <c r="A225" s="6"/>
      <c r="B225" s="6"/>
      <c r="C225" s="6"/>
      <c r="D225" s="6"/>
      <c r="E225" s="6"/>
      <c r="F225" s="6"/>
      <c r="G225" s="6"/>
      <c r="H225" s="6"/>
      <c r="I225" s="6"/>
      <c r="J225" s="6"/>
      <c r="K225" s="6"/>
    </row>
    <row r="226" spans="1:11" x14ac:dyDescent="0.25">
      <c r="A226" s="6"/>
      <c r="B226" s="6"/>
      <c r="C226" s="6"/>
      <c r="D226" s="6"/>
      <c r="E226" s="6"/>
      <c r="F226" s="6"/>
      <c r="G226" s="6"/>
      <c r="H226" s="6"/>
      <c r="I226" s="6"/>
      <c r="J226" s="6"/>
      <c r="K226" s="6"/>
    </row>
    <row r="227" spans="1:11" x14ac:dyDescent="0.25">
      <c r="A227" s="6"/>
      <c r="B227" s="6"/>
      <c r="C227" s="6"/>
      <c r="D227" s="6"/>
      <c r="E227" s="6"/>
      <c r="F227" s="6"/>
      <c r="G227" s="6"/>
      <c r="H227" s="6"/>
      <c r="I227" s="6"/>
      <c r="J227" s="6"/>
      <c r="K227" s="6"/>
    </row>
    <row r="228" spans="1:11" x14ac:dyDescent="0.25">
      <c r="A228" s="6"/>
      <c r="B228" s="6"/>
      <c r="C228" s="6"/>
      <c r="D228" s="6"/>
      <c r="E228" s="6"/>
      <c r="F228" s="6"/>
      <c r="G228" s="6"/>
      <c r="H228" s="6"/>
      <c r="I228" s="6"/>
      <c r="J228" s="6"/>
      <c r="K228" s="6"/>
    </row>
    <row r="229" spans="1:11" x14ac:dyDescent="0.25">
      <c r="A229" s="6"/>
      <c r="B229" s="6"/>
      <c r="C229" s="6"/>
      <c r="D229" s="6"/>
      <c r="E229" s="6"/>
      <c r="F229" s="6"/>
      <c r="G229" s="6"/>
      <c r="H229" s="6"/>
      <c r="I229" s="6"/>
      <c r="J229" s="6"/>
      <c r="K229" s="6"/>
    </row>
    <row r="230" spans="1:11" x14ac:dyDescent="0.25">
      <c r="A230" s="6"/>
      <c r="B230" s="6"/>
      <c r="C230" s="6"/>
      <c r="D230" s="6"/>
      <c r="E230" s="6"/>
      <c r="F230" s="6"/>
      <c r="G230" s="6"/>
      <c r="H230" s="6"/>
      <c r="I230" s="6"/>
      <c r="J230" s="6"/>
      <c r="K230" s="6"/>
    </row>
    <row r="231" spans="1:11" x14ac:dyDescent="0.25">
      <c r="A231" s="6"/>
      <c r="B231" s="6"/>
      <c r="C231" s="6"/>
      <c r="D231" s="6"/>
      <c r="E231" s="6"/>
      <c r="F231" s="6"/>
      <c r="G231" s="6"/>
      <c r="H231" s="6"/>
      <c r="I231" s="6"/>
      <c r="J231" s="6"/>
      <c r="K231" s="6"/>
    </row>
    <row r="232" spans="1:11" x14ac:dyDescent="0.25">
      <c r="A232" s="6"/>
      <c r="B232" s="6"/>
      <c r="C232" s="6"/>
      <c r="D232" s="6"/>
      <c r="E232" s="6"/>
      <c r="F232" s="6"/>
      <c r="G232" s="6"/>
      <c r="H232" s="6"/>
      <c r="I232" s="6"/>
      <c r="J232" s="6"/>
      <c r="K232" s="6"/>
    </row>
    <row r="233" spans="1:11" x14ac:dyDescent="0.25">
      <c r="A233" s="6"/>
      <c r="B233" s="6"/>
      <c r="C233" s="6"/>
      <c r="D233" s="6"/>
      <c r="E233" s="6"/>
      <c r="F233" s="6"/>
      <c r="G233" s="6"/>
      <c r="H233" s="6"/>
      <c r="I233" s="6"/>
      <c r="J233" s="6"/>
      <c r="K233" s="6"/>
    </row>
    <row r="234" spans="1:11" x14ac:dyDescent="0.25">
      <c r="A234" s="6"/>
      <c r="B234" s="6"/>
      <c r="C234" s="6"/>
      <c r="D234" s="6"/>
      <c r="E234" s="6"/>
      <c r="F234" s="6"/>
      <c r="G234" s="6"/>
      <c r="H234" s="6"/>
      <c r="I234" s="6"/>
      <c r="J234" s="6"/>
      <c r="K234" s="6"/>
    </row>
    <row r="235" spans="1:11" x14ac:dyDescent="0.25">
      <c r="A235" s="6"/>
      <c r="B235" s="6"/>
      <c r="C235" s="6"/>
      <c r="D235" s="6"/>
      <c r="E235" s="6"/>
      <c r="F235" s="6"/>
      <c r="G235" s="6"/>
      <c r="H235" s="6"/>
      <c r="I235" s="6"/>
      <c r="J235" s="6"/>
      <c r="K235" s="6"/>
    </row>
    <row r="236" spans="1:11" x14ac:dyDescent="0.25">
      <c r="A236" s="6"/>
      <c r="B236" s="6"/>
      <c r="C236" s="6"/>
      <c r="D236" s="6"/>
      <c r="E236" s="6"/>
      <c r="F236" s="6"/>
      <c r="G236" s="6"/>
      <c r="H236" s="6"/>
      <c r="I236" s="6"/>
      <c r="J236" s="6"/>
      <c r="K236" s="6"/>
    </row>
    <row r="237" spans="1:11" x14ac:dyDescent="0.25">
      <c r="A237" s="6"/>
      <c r="B237" s="6"/>
      <c r="C237" s="6"/>
      <c r="D237" s="6"/>
      <c r="E237" s="6"/>
      <c r="F237" s="6"/>
      <c r="G237" s="6"/>
      <c r="H237" s="6"/>
      <c r="I237" s="6"/>
      <c r="J237" s="6"/>
      <c r="K237" s="6"/>
    </row>
    <row r="238" spans="1:11" x14ac:dyDescent="0.25">
      <c r="A238" s="6"/>
      <c r="B238" s="6"/>
      <c r="C238" s="6"/>
      <c r="D238" s="6"/>
      <c r="E238" s="6"/>
      <c r="F238" s="6"/>
      <c r="G238" s="6"/>
      <c r="H238" s="6"/>
      <c r="I238" s="6"/>
      <c r="J238" s="6"/>
      <c r="K238" s="6"/>
    </row>
    <row r="239" spans="1:11" x14ac:dyDescent="0.25">
      <c r="A239" s="6"/>
      <c r="B239" s="6"/>
      <c r="C239" s="6"/>
      <c r="D239" s="6"/>
      <c r="E239" s="6"/>
      <c r="F239" s="6"/>
      <c r="G239" s="6"/>
      <c r="H239" s="6"/>
      <c r="I239" s="6"/>
      <c r="J239" s="6"/>
      <c r="K239" s="6"/>
    </row>
    <row r="240" spans="1:11" x14ac:dyDescent="0.25">
      <c r="A240" s="6"/>
      <c r="B240" s="6"/>
      <c r="C240" s="6"/>
      <c r="D240" s="6"/>
      <c r="E240" s="6"/>
      <c r="F240" s="6"/>
      <c r="G240" s="6"/>
      <c r="H240" s="6"/>
      <c r="I240" s="6"/>
      <c r="J240" s="6"/>
      <c r="K240" s="6"/>
    </row>
    <row r="241" spans="1:11" x14ac:dyDescent="0.25">
      <c r="A241" s="6"/>
      <c r="B241" s="6"/>
      <c r="C241" s="6"/>
      <c r="D241" s="6"/>
      <c r="E241" s="6"/>
      <c r="F241" s="6"/>
      <c r="G241" s="6"/>
      <c r="H241" s="6"/>
      <c r="I241" s="6"/>
      <c r="J241" s="6"/>
      <c r="K241" s="6"/>
    </row>
    <row r="242" spans="1:11" x14ac:dyDescent="0.25">
      <c r="A242" s="6"/>
      <c r="B242" s="6"/>
      <c r="C242" s="6"/>
      <c r="D242" s="6"/>
      <c r="E242" s="6"/>
      <c r="F242" s="6"/>
      <c r="G242" s="6"/>
      <c r="H242" s="6"/>
      <c r="I242" s="6"/>
      <c r="J242" s="6"/>
      <c r="K242" s="6"/>
    </row>
    <row r="243" spans="1:11" x14ac:dyDescent="0.25">
      <c r="A243" s="6"/>
      <c r="B243" s="6"/>
      <c r="C243" s="6"/>
      <c r="D243" s="6"/>
      <c r="E243" s="6"/>
      <c r="F243" s="6"/>
      <c r="G243" s="6"/>
      <c r="H243" s="6"/>
      <c r="I243" s="6"/>
      <c r="J243" s="6"/>
      <c r="K243" s="6"/>
    </row>
    <row r="244" spans="1:11" x14ac:dyDescent="0.25">
      <c r="A244" s="6"/>
      <c r="B244" s="6"/>
      <c r="C244" s="6"/>
      <c r="D244" s="6"/>
      <c r="E244" s="6"/>
      <c r="F244" s="6"/>
      <c r="G244" s="6"/>
      <c r="H244" s="6"/>
      <c r="I244" s="6"/>
      <c r="J244" s="6"/>
      <c r="K244" s="6"/>
    </row>
    <row r="245" spans="1:11" x14ac:dyDescent="0.25">
      <c r="A245" s="6"/>
      <c r="B245" s="6"/>
      <c r="C245" s="6"/>
      <c r="D245" s="6"/>
      <c r="E245" s="6"/>
      <c r="F245" s="6"/>
      <c r="G245" s="6"/>
      <c r="H245" s="6"/>
      <c r="I245" s="6"/>
      <c r="J245" s="6"/>
      <c r="K245" s="6"/>
    </row>
    <row r="246" spans="1:11" x14ac:dyDescent="0.25">
      <c r="A246" s="6"/>
      <c r="B246" s="6"/>
      <c r="C246" s="6"/>
      <c r="D246" s="6"/>
      <c r="E246" s="6"/>
      <c r="F246" s="6"/>
      <c r="G246" s="6"/>
      <c r="H246" s="6"/>
      <c r="I246" s="6"/>
      <c r="J246" s="6"/>
      <c r="K246" s="6"/>
    </row>
    <row r="247" spans="1:11" x14ac:dyDescent="0.25">
      <c r="A247" s="6"/>
      <c r="B247" s="6"/>
      <c r="C247" s="6"/>
      <c r="D247" s="6"/>
      <c r="E247" s="6"/>
      <c r="F247" s="6"/>
      <c r="G247" s="6"/>
      <c r="H247" s="6"/>
      <c r="I247" s="6"/>
      <c r="J247" s="6"/>
      <c r="K247" s="6"/>
    </row>
    <row r="248" spans="1:11" x14ac:dyDescent="0.25">
      <c r="A248" s="6"/>
      <c r="B248" s="6"/>
      <c r="C248" s="6"/>
      <c r="D248" s="6"/>
      <c r="E248" s="6"/>
      <c r="F248" s="6"/>
      <c r="G248" s="6"/>
      <c r="H248" s="6"/>
      <c r="I248" s="6"/>
      <c r="J248" s="6"/>
      <c r="K248" s="6"/>
    </row>
    <row r="249" spans="1:11" x14ac:dyDescent="0.25">
      <c r="A249" s="6"/>
      <c r="B249" s="6"/>
      <c r="C249" s="6"/>
      <c r="D249" s="6"/>
      <c r="E249" s="6"/>
      <c r="F249" s="6"/>
      <c r="G249" s="6"/>
      <c r="H249" s="6"/>
      <c r="I249" s="6"/>
      <c r="J249" s="6"/>
      <c r="K249" s="6"/>
    </row>
    <row r="250" spans="1:11" x14ac:dyDescent="0.25">
      <c r="A250" s="6"/>
      <c r="B250" s="6"/>
      <c r="C250" s="6"/>
      <c r="D250" s="6"/>
      <c r="E250" s="6"/>
      <c r="F250" s="6"/>
      <c r="G250" s="6"/>
      <c r="H250" s="6"/>
      <c r="I250" s="6"/>
      <c r="J250" s="6"/>
      <c r="K250" s="6"/>
    </row>
    <row r="251" spans="1:11" x14ac:dyDescent="0.25">
      <c r="A251" s="6"/>
      <c r="B251" s="6"/>
      <c r="C251" s="6"/>
      <c r="D251" s="6"/>
      <c r="E251" s="6"/>
      <c r="F251" s="6"/>
      <c r="G251" s="6"/>
      <c r="H251" s="6"/>
      <c r="I251" s="6"/>
      <c r="J251" s="6"/>
      <c r="K251" s="6"/>
    </row>
    <row r="252" spans="1:11" x14ac:dyDescent="0.25">
      <c r="A252" s="6"/>
      <c r="B252" s="6"/>
      <c r="C252" s="6"/>
      <c r="D252" s="6"/>
      <c r="E252" s="6"/>
      <c r="F252" s="6"/>
      <c r="G252" s="6"/>
      <c r="H252" s="6"/>
      <c r="I252" s="6"/>
      <c r="J252" s="6"/>
      <c r="K252" s="6"/>
    </row>
    <row r="253" spans="1:11" x14ac:dyDescent="0.25">
      <c r="A253" s="6"/>
      <c r="B253" s="6"/>
      <c r="C253" s="6"/>
      <c r="D253" s="6"/>
      <c r="E253" s="6"/>
      <c r="F253" s="6"/>
      <c r="G253" s="6"/>
      <c r="H253" s="6"/>
      <c r="I253" s="6"/>
      <c r="J253" s="6"/>
      <c r="K253" s="6"/>
    </row>
    <row r="254" spans="1:11" x14ac:dyDescent="0.25">
      <c r="A254" s="6"/>
      <c r="B254" s="6"/>
      <c r="C254" s="6"/>
      <c r="D254" s="6"/>
      <c r="E254" s="6"/>
      <c r="F254" s="6"/>
      <c r="G254" s="6"/>
      <c r="H254" s="6"/>
      <c r="I254" s="6"/>
      <c r="J254" s="6"/>
      <c r="K254" s="6"/>
    </row>
    <row r="255" spans="1:11" x14ac:dyDescent="0.25">
      <c r="A255" s="6"/>
      <c r="B255" s="6"/>
      <c r="C255" s="6"/>
      <c r="D255" s="6"/>
      <c r="E255" s="6"/>
      <c r="F255" s="6"/>
      <c r="G255" s="6"/>
      <c r="H255" s="6"/>
      <c r="I255" s="6"/>
      <c r="J255" s="6"/>
      <c r="K255" s="6"/>
    </row>
    <row r="256" spans="1:11" x14ac:dyDescent="0.25">
      <c r="A256" s="6"/>
      <c r="B256" s="6"/>
      <c r="C256" s="6"/>
      <c r="D256" s="6"/>
      <c r="E256" s="6"/>
      <c r="F256" s="6"/>
      <c r="G256" s="6"/>
      <c r="H256" s="6"/>
      <c r="I256" s="6"/>
      <c r="J256" s="6"/>
      <c r="K256" s="6"/>
    </row>
    <row r="257" spans="1:11" x14ac:dyDescent="0.25">
      <c r="A257" s="6"/>
      <c r="B257" s="6"/>
      <c r="C257" s="6"/>
      <c r="D257" s="6"/>
      <c r="E257" s="6"/>
      <c r="F257" s="6"/>
      <c r="G257" s="6"/>
      <c r="H257" s="6"/>
      <c r="I257" s="6"/>
      <c r="J257" s="6"/>
      <c r="K257" s="6"/>
    </row>
    <row r="258" spans="1:11" x14ac:dyDescent="0.25">
      <c r="A258" s="6"/>
      <c r="B258" s="6"/>
      <c r="C258" s="6"/>
      <c r="D258" s="6"/>
      <c r="E258" s="6"/>
      <c r="F258" s="6"/>
      <c r="G258" s="6"/>
      <c r="H258" s="6"/>
      <c r="I258" s="6"/>
      <c r="J258" s="6"/>
      <c r="K258" s="6"/>
    </row>
    <row r="259" spans="1:11" x14ac:dyDescent="0.25">
      <c r="A259" s="6"/>
      <c r="B259" s="6"/>
      <c r="C259" s="6"/>
      <c r="D259" s="6"/>
      <c r="E259" s="6"/>
      <c r="F259" s="6"/>
      <c r="G259" s="6"/>
      <c r="H259" s="6"/>
      <c r="I259" s="6"/>
      <c r="J259" s="6"/>
      <c r="K259" s="6"/>
    </row>
    <row r="260" spans="1:11" x14ac:dyDescent="0.25">
      <c r="A260" s="6"/>
      <c r="B260" s="6"/>
      <c r="C260" s="6"/>
      <c r="D260" s="6"/>
      <c r="E260" s="6"/>
      <c r="F260" s="6"/>
      <c r="G260" s="6"/>
      <c r="H260" s="6"/>
      <c r="I260" s="6"/>
      <c r="J260" s="6"/>
      <c r="K260" s="6"/>
    </row>
    <row r="261" spans="1:11" x14ac:dyDescent="0.25">
      <c r="A261" s="6"/>
      <c r="B261" s="6"/>
      <c r="C261" s="6"/>
      <c r="D261" s="6"/>
      <c r="E261" s="6"/>
      <c r="F261" s="6"/>
      <c r="G261" s="6"/>
      <c r="H261" s="6"/>
      <c r="I261" s="6"/>
      <c r="J261" s="6"/>
      <c r="K261" s="6"/>
    </row>
    <row r="262" spans="1:11" x14ac:dyDescent="0.25">
      <c r="A262" s="6"/>
      <c r="B262" s="6"/>
      <c r="C262" s="6"/>
      <c r="D262" s="6"/>
      <c r="E262" s="6"/>
      <c r="F262" s="6"/>
      <c r="G262" s="6"/>
      <c r="H262" s="6"/>
      <c r="I262" s="6"/>
      <c r="J262" s="6"/>
      <c r="K262" s="6"/>
    </row>
    <row r="263" spans="1:11" x14ac:dyDescent="0.25">
      <c r="A263" s="6"/>
      <c r="B263" s="6"/>
      <c r="C263" s="6"/>
      <c r="D263" s="6"/>
      <c r="E263" s="6"/>
      <c r="F263" s="6"/>
      <c r="G263" s="6"/>
      <c r="H263" s="6"/>
      <c r="I263" s="6"/>
      <c r="J263" s="6"/>
      <c r="K263" s="6"/>
    </row>
    <row r="264" spans="1:11" x14ac:dyDescent="0.25">
      <c r="A264" s="6"/>
      <c r="B264" s="6"/>
      <c r="C264" s="6"/>
      <c r="D264" s="6"/>
      <c r="E264" s="6"/>
      <c r="F264" s="6"/>
      <c r="G264" s="6"/>
      <c r="H264" s="6"/>
      <c r="I264" s="6"/>
      <c r="J264" s="6"/>
      <c r="K264" s="6"/>
    </row>
    <row r="265" spans="1:11" x14ac:dyDescent="0.25">
      <c r="A265" s="6"/>
      <c r="B265" s="6"/>
      <c r="C265" s="6"/>
      <c r="D265" s="6"/>
      <c r="E265" s="6"/>
      <c r="F265" s="6"/>
      <c r="G265" s="6"/>
      <c r="H265" s="6"/>
      <c r="I265" s="6"/>
      <c r="J265" s="6"/>
      <c r="K265" s="6"/>
    </row>
    <row r="266" spans="1:11" x14ac:dyDescent="0.25">
      <c r="A266" s="6"/>
      <c r="B266" s="6"/>
      <c r="C266" s="6"/>
      <c r="D266" s="6"/>
      <c r="E266" s="6"/>
      <c r="F266" s="6"/>
      <c r="G266" s="6"/>
      <c r="H266" s="6"/>
      <c r="I266" s="6"/>
      <c r="J266" s="6"/>
      <c r="K266" s="6"/>
    </row>
    <row r="267" spans="1:11" x14ac:dyDescent="0.25">
      <c r="A267" s="6"/>
      <c r="B267" s="6"/>
      <c r="C267" s="6"/>
      <c r="D267" s="6"/>
      <c r="E267" s="6"/>
      <c r="F267" s="6"/>
      <c r="G267" s="6"/>
      <c r="H267" s="6"/>
      <c r="I267" s="6"/>
      <c r="J267" s="6"/>
      <c r="K267" s="6"/>
    </row>
    <row r="268" spans="1:11" x14ac:dyDescent="0.25">
      <c r="A268" s="6"/>
      <c r="B268" s="6"/>
      <c r="C268" s="6"/>
      <c r="D268" s="6"/>
      <c r="E268" s="6"/>
      <c r="F268" s="6"/>
      <c r="G268" s="6"/>
      <c r="H268" s="6"/>
      <c r="I268" s="6"/>
      <c r="J268" s="6"/>
      <c r="K268" s="6"/>
    </row>
    <row r="269" spans="1:11" x14ac:dyDescent="0.25">
      <c r="A269" s="6"/>
      <c r="B269" s="6"/>
      <c r="C269" s="6"/>
      <c r="D269" s="6"/>
      <c r="E269" s="6"/>
      <c r="F269" s="6"/>
      <c r="G269" s="6"/>
      <c r="H269" s="6"/>
      <c r="I269" s="6"/>
      <c r="J269" s="6"/>
      <c r="K269" s="6"/>
    </row>
    <row r="270" spans="1:11" x14ac:dyDescent="0.25">
      <c r="A270" s="6"/>
      <c r="B270" s="6"/>
      <c r="C270" s="6"/>
      <c r="D270" s="6"/>
      <c r="E270" s="6"/>
      <c r="F270" s="6"/>
      <c r="G270" s="6"/>
      <c r="H270" s="6"/>
      <c r="I270" s="6"/>
      <c r="J270" s="6"/>
      <c r="K270" s="6"/>
    </row>
    <row r="271" spans="1:11" x14ac:dyDescent="0.25">
      <c r="A271" s="6"/>
      <c r="B271" s="6"/>
      <c r="C271" s="6"/>
      <c r="D271" s="6"/>
      <c r="E271" s="6"/>
      <c r="F271" s="6"/>
      <c r="G271" s="6"/>
      <c r="H271" s="6"/>
      <c r="I271" s="6"/>
      <c r="J271" s="6"/>
      <c r="K271" s="6"/>
    </row>
    <row r="272" spans="1:11" x14ac:dyDescent="0.25">
      <c r="A272" s="6"/>
      <c r="B272" s="6"/>
      <c r="C272" s="6"/>
      <c r="D272" s="6"/>
      <c r="E272" s="6"/>
      <c r="F272" s="6"/>
      <c r="G272" s="6"/>
      <c r="H272" s="6"/>
      <c r="I272" s="6"/>
      <c r="J272" s="6"/>
      <c r="K272" s="6"/>
    </row>
    <row r="273" spans="1:11" x14ac:dyDescent="0.25">
      <c r="A273" s="6"/>
      <c r="B273" s="6"/>
      <c r="C273" s="6"/>
      <c r="D273" s="6"/>
      <c r="E273" s="6"/>
      <c r="F273" s="6"/>
      <c r="G273" s="6"/>
      <c r="H273" s="6"/>
      <c r="I273" s="6"/>
      <c r="J273" s="6"/>
      <c r="K273" s="6"/>
    </row>
    <row r="274" spans="1:11" x14ac:dyDescent="0.25">
      <c r="A274" s="6"/>
      <c r="B274" s="6"/>
      <c r="C274" s="6"/>
      <c r="D274" s="6"/>
      <c r="E274" s="6"/>
      <c r="F274" s="6"/>
      <c r="G274" s="6"/>
      <c r="H274" s="6"/>
      <c r="I274" s="6"/>
      <c r="J274" s="6"/>
      <c r="K274" s="6"/>
    </row>
    <row r="275" spans="1:11" x14ac:dyDescent="0.25">
      <c r="A275" s="6"/>
      <c r="B275" s="6"/>
      <c r="C275" s="6"/>
      <c r="D275" s="6"/>
      <c r="E275" s="6"/>
      <c r="F275" s="6"/>
      <c r="G275" s="6"/>
      <c r="H275" s="6"/>
      <c r="I275" s="6"/>
      <c r="J275" s="6"/>
      <c r="K275" s="6"/>
    </row>
    <row r="276" spans="1:11" x14ac:dyDescent="0.25">
      <c r="A276" s="6"/>
      <c r="B276" s="6"/>
      <c r="C276" s="6"/>
      <c r="D276" s="6"/>
      <c r="E276" s="6"/>
      <c r="F276" s="6"/>
      <c r="G276" s="6"/>
      <c r="H276" s="6"/>
      <c r="I276" s="6"/>
      <c r="J276" s="6"/>
      <c r="K276" s="6"/>
    </row>
    <row r="277" spans="1:11" x14ac:dyDescent="0.25">
      <c r="A277" s="6"/>
      <c r="B277" s="6"/>
      <c r="C277" s="6"/>
      <c r="D277" s="6"/>
      <c r="E277" s="6"/>
      <c r="F277" s="6"/>
      <c r="G277" s="6"/>
      <c r="H277" s="6"/>
      <c r="I277" s="6"/>
      <c r="J277" s="6"/>
      <c r="K277" s="6"/>
    </row>
    <row r="278" spans="1:11" x14ac:dyDescent="0.25">
      <c r="A278" s="6"/>
      <c r="B278" s="6"/>
      <c r="C278" s="6"/>
      <c r="D278" s="6"/>
      <c r="E278" s="6"/>
      <c r="F278" s="6"/>
      <c r="G278" s="6"/>
      <c r="H278" s="6"/>
      <c r="I278" s="6"/>
      <c r="J278" s="6"/>
      <c r="K278" s="6"/>
    </row>
    <row r="279" spans="1:11" x14ac:dyDescent="0.25">
      <c r="A279" s="6"/>
      <c r="B279" s="6"/>
      <c r="C279" s="6"/>
      <c r="D279" s="6"/>
      <c r="E279" s="6"/>
      <c r="F279" s="6"/>
      <c r="G279" s="6"/>
      <c r="H279" s="6"/>
      <c r="I279" s="6"/>
      <c r="J279" s="6"/>
      <c r="K279" s="6"/>
    </row>
    <row r="280" spans="1:11" x14ac:dyDescent="0.25">
      <c r="A280" s="6"/>
      <c r="B280" s="6"/>
      <c r="C280" s="6"/>
      <c r="D280" s="6"/>
      <c r="E280" s="6"/>
      <c r="F280" s="6"/>
      <c r="G280" s="6"/>
      <c r="H280" s="6"/>
      <c r="I280" s="6"/>
      <c r="J280" s="6"/>
      <c r="K280" s="6"/>
    </row>
    <row r="281" spans="1:11" x14ac:dyDescent="0.25">
      <c r="A281" s="6"/>
      <c r="B281" s="6"/>
      <c r="C281" s="6"/>
      <c r="D281" s="6"/>
      <c r="E281" s="6"/>
      <c r="F281" s="6"/>
      <c r="G281" s="6"/>
      <c r="H281" s="6"/>
      <c r="I281" s="6"/>
      <c r="J281" s="6"/>
      <c r="K281" s="6"/>
    </row>
    <row r="282" spans="1:11" x14ac:dyDescent="0.25">
      <c r="A282" s="6"/>
      <c r="B282" s="6"/>
      <c r="C282" s="6"/>
      <c r="D282" s="6"/>
      <c r="E282" s="6"/>
      <c r="F282" s="6"/>
      <c r="G282" s="6"/>
      <c r="H282" s="6"/>
      <c r="I282" s="6"/>
      <c r="J282" s="6"/>
      <c r="K282" s="6"/>
    </row>
    <row r="283" spans="1:11" x14ac:dyDescent="0.25">
      <c r="A283" s="6"/>
      <c r="B283" s="6"/>
      <c r="C283" s="6"/>
      <c r="D283" s="6"/>
      <c r="E283" s="6"/>
      <c r="F283" s="6"/>
      <c r="G283" s="6"/>
      <c r="H283" s="6"/>
      <c r="I283" s="6"/>
      <c r="J283" s="6"/>
      <c r="K283" s="6"/>
    </row>
    <row r="284" spans="1:11" x14ac:dyDescent="0.25">
      <c r="A284" s="6"/>
      <c r="B284" s="6"/>
      <c r="C284" s="6"/>
      <c r="D284" s="6"/>
      <c r="E284" s="6"/>
      <c r="F284" s="6"/>
      <c r="G284" s="6"/>
      <c r="H284" s="6"/>
      <c r="I284" s="6"/>
      <c r="J284" s="6"/>
      <c r="K284" s="6"/>
    </row>
    <row r="285" spans="1:11" x14ac:dyDescent="0.25">
      <c r="A285" s="6"/>
      <c r="B285" s="6"/>
      <c r="C285" s="6"/>
      <c r="D285" s="6"/>
      <c r="E285" s="6"/>
      <c r="F285" s="6"/>
      <c r="G285" s="6"/>
      <c r="H285" s="6"/>
      <c r="I285" s="6"/>
      <c r="J285" s="6"/>
      <c r="K285" s="6"/>
    </row>
    <row r="286" spans="1:11" x14ac:dyDescent="0.25">
      <c r="A286" s="6"/>
      <c r="B286" s="6"/>
      <c r="C286" s="6"/>
      <c r="D286" s="6"/>
      <c r="E286" s="6"/>
      <c r="F286" s="6"/>
      <c r="G286" s="6"/>
      <c r="H286" s="6"/>
      <c r="I286" s="6"/>
      <c r="J286" s="6"/>
      <c r="K286" s="6"/>
    </row>
    <row r="287" spans="1:11" x14ac:dyDescent="0.25">
      <c r="A287" s="6"/>
      <c r="B287" s="6"/>
      <c r="C287" s="6"/>
      <c r="D287" s="6"/>
      <c r="E287" s="6"/>
      <c r="F287" s="6"/>
      <c r="G287" s="6"/>
      <c r="H287" s="6"/>
      <c r="I287" s="6"/>
      <c r="J287" s="6"/>
      <c r="K287" s="6"/>
    </row>
    <row r="288" spans="1:11" x14ac:dyDescent="0.25">
      <c r="A288" s="6"/>
      <c r="B288" s="6"/>
      <c r="C288" s="6"/>
      <c r="D288" s="6"/>
      <c r="E288" s="6"/>
      <c r="F288" s="6"/>
      <c r="G288" s="6"/>
      <c r="H288" s="6"/>
      <c r="I288" s="6"/>
      <c r="J288" s="6"/>
      <c r="K288" s="6"/>
    </row>
    <row r="289" spans="1:11" x14ac:dyDescent="0.25">
      <c r="A289" s="6"/>
      <c r="B289" s="6"/>
      <c r="C289" s="6"/>
      <c r="D289" s="6"/>
      <c r="E289" s="6"/>
      <c r="F289" s="6"/>
      <c r="G289" s="6"/>
      <c r="H289" s="6"/>
      <c r="I289" s="6"/>
      <c r="J289" s="6"/>
      <c r="K289" s="6"/>
    </row>
    <row r="290" spans="1:11" x14ac:dyDescent="0.25">
      <c r="A290" s="6"/>
      <c r="B290" s="6"/>
      <c r="C290" s="6"/>
      <c r="D290" s="6"/>
      <c r="E290" s="6"/>
      <c r="F290" s="6"/>
      <c r="G290" s="6"/>
      <c r="H290" s="6"/>
      <c r="I290" s="6"/>
      <c r="J290" s="6"/>
      <c r="K290" s="6"/>
    </row>
    <row r="291" spans="1:11" x14ac:dyDescent="0.25">
      <c r="A291" s="6"/>
      <c r="B291" s="6"/>
      <c r="C291" s="6"/>
      <c r="D291" s="6"/>
      <c r="E291" s="6"/>
      <c r="F291" s="6"/>
      <c r="G291" s="6"/>
      <c r="H291" s="6"/>
      <c r="I291" s="6"/>
      <c r="J291" s="6"/>
      <c r="K291" s="6"/>
    </row>
    <row r="292" spans="1:11" x14ac:dyDescent="0.25">
      <c r="A292" s="6"/>
      <c r="B292" s="6"/>
      <c r="C292" s="6"/>
      <c r="D292" s="6"/>
      <c r="E292" s="6"/>
      <c r="F292" s="6"/>
      <c r="G292" s="6"/>
      <c r="H292" s="6"/>
      <c r="I292" s="6"/>
      <c r="J292" s="6"/>
      <c r="K292" s="6"/>
    </row>
    <row r="293" spans="1:11" x14ac:dyDescent="0.25">
      <c r="A293" s="6"/>
      <c r="B293" s="6"/>
      <c r="C293" s="6"/>
      <c r="D293" s="6"/>
      <c r="E293" s="6"/>
      <c r="F293" s="6"/>
      <c r="G293" s="6"/>
      <c r="H293" s="6"/>
      <c r="I293" s="6"/>
      <c r="J293" s="6"/>
      <c r="K293" s="6"/>
    </row>
    <row r="294" spans="1:11" x14ac:dyDescent="0.25">
      <c r="A294" s="6"/>
      <c r="B294" s="6"/>
      <c r="C294" s="6"/>
      <c r="D294" s="6"/>
      <c r="E294" s="6"/>
      <c r="F294" s="6"/>
      <c r="G294" s="6"/>
      <c r="H294" s="6"/>
      <c r="I294" s="6"/>
      <c r="J294" s="6"/>
      <c r="K294" s="6"/>
    </row>
    <row r="295" spans="1:11" x14ac:dyDescent="0.25">
      <c r="A295" s="6"/>
      <c r="B295" s="6"/>
      <c r="C295" s="6"/>
      <c r="D295" s="6"/>
      <c r="E295" s="6"/>
      <c r="F295" s="6"/>
      <c r="G295" s="6"/>
      <c r="H295" s="6"/>
      <c r="I295" s="6"/>
      <c r="J295" s="6"/>
      <c r="K295" s="6"/>
    </row>
    <row r="296" spans="1:11" x14ac:dyDescent="0.25">
      <c r="A296" s="6"/>
      <c r="B296" s="6"/>
      <c r="C296" s="6"/>
      <c r="D296" s="6"/>
      <c r="E296" s="6"/>
      <c r="F296" s="6"/>
      <c r="G296" s="6"/>
      <c r="H296" s="6"/>
      <c r="I296" s="6"/>
      <c r="J296" s="6"/>
      <c r="K296" s="6"/>
    </row>
    <row r="297" spans="1:11" x14ac:dyDescent="0.25">
      <c r="A297" s="6"/>
      <c r="B297" s="6"/>
      <c r="C297" s="6"/>
      <c r="D297" s="6"/>
      <c r="E297" s="6"/>
      <c r="F297" s="6"/>
      <c r="G297" s="6"/>
      <c r="H297" s="6"/>
      <c r="I297" s="6"/>
      <c r="J297" s="6"/>
      <c r="K297" s="6"/>
    </row>
    <row r="298" spans="1:11" x14ac:dyDescent="0.25">
      <c r="A298" s="6"/>
      <c r="B298" s="6"/>
      <c r="C298" s="6"/>
      <c r="D298" s="6"/>
      <c r="E298" s="6"/>
      <c r="F298" s="6"/>
      <c r="G298" s="6"/>
      <c r="H298" s="6"/>
      <c r="I298" s="6"/>
      <c r="J298" s="6"/>
      <c r="K298" s="6"/>
    </row>
    <row r="299" spans="1:11" x14ac:dyDescent="0.25">
      <c r="A299" s="6"/>
      <c r="B299" s="6"/>
      <c r="C299" s="6"/>
      <c r="D299" s="6"/>
      <c r="E299" s="6"/>
      <c r="F299" s="6"/>
      <c r="G299" s="6"/>
      <c r="H299" s="6"/>
      <c r="I299" s="6"/>
      <c r="J299" s="6"/>
      <c r="K299" s="6"/>
    </row>
    <row r="300" spans="1:11" x14ac:dyDescent="0.25">
      <c r="A300" s="6"/>
      <c r="B300" s="6"/>
      <c r="C300" s="6"/>
      <c r="D300" s="6"/>
      <c r="E300" s="6"/>
      <c r="F300" s="6"/>
      <c r="G300" s="6"/>
      <c r="H300" s="6"/>
      <c r="I300" s="6"/>
      <c r="J300" s="6"/>
      <c r="K300" s="6"/>
    </row>
    <row r="301" spans="1:11" x14ac:dyDescent="0.25">
      <c r="A301" s="6"/>
      <c r="B301" s="6"/>
      <c r="C301" s="6"/>
      <c r="D301" s="6"/>
      <c r="E301" s="6"/>
      <c r="F301" s="6"/>
      <c r="G301" s="6"/>
      <c r="H301" s="6"/>
      <c r="I301" s="6"/>
      <c r="J301" s="6"/>
      <c r="K301" s="6"/>
    </row>
    <row r="302" spans="1:11" x14ac:dyDescent="0.25">
      <c r="A302" s="6"/>
      <c r="B302" s="6"/>
      <c r="C302" s="6"/>
      <c r="D302" s="6"/>
      <c r="E302" s="6"/>
      <c r="F302" s="6"/>
      <c r="G302" s="6"/>
      <c r="H302" s="6"/>
      <c r="I302" s="6"/>
      <c r="J302" s="6"/>
      <c r="K302" s="6"/>
    </row>
    <row r="303" spans="1:11" x14ac:dyDescent="0.25">
      <c r="A303" s="6"/>
      <c r="B303" s="6"/>
      <c r="C303" s="6"/>
      <c r="D303" s="6"/>
      <c r="E303" s="6"/>
      <c r="F303" s="6"/>
      <c r="G303" s="6"/>
      <c r="H303" s="6"/>
      <c r="I303" s="6"/>
      <c r="J303" s="6"/>
      <c r="K303" s="6"/>
    </row>
    <row r="304" spans="1:11" x14ac:dyDescent="0.25">
      <c r="A304" s="6"/>
      <c r="B304" s="6"/>
      <c r="C304" s="6"/>
      <c r="D304" s="6"/>
      <c r="E304" s="6"/>
      <c r="F304" s="6"/>
      <c r="G304" s="6"/>
      <c r="H304" s="6"/>
      <c r="I304" s="6"/>
      <c r="J304" s="6"/>
      <c r="K304" s="6"/>
    </row>
    <row r="305" spans="1:11" x14ac:dyDescent="0.25">
      <c r="A305" s="6"/>
      <c r="B305" s="6"/>
      <c r="C305" s="6"/>
      <c r="D305" s="6"/>
      <c r="E305" s="6"/>
      <c r="F305" s="6"/>
      <c r="G305" s="6"/>
      <c r="H305" s="6"/>
      <c r="I305" s="6"/>
      <c r="J305" s="6"/>
      <c r="K305" s="6"/>
    </row>
    <row r="306" spans="1:11" x14ac:dyDescent="0.25">
      <c r="A306" s="6"/>
      <c r="B306" s="6"/>
      <c r="C306" s="6"/>
      <c r="D306" s="6"/>
      <c r="E306" s="6"/>
      <c r="F306" s="6"/>
      <c r="G306" s="6"/>
      <c r="H306" s="6"/>
      <c r="I306" s="6"/>
      <c r="J306" s="6"/>
      <c r="K306" s="6"/>
    </row>
    <row r="307" spans="1:11" x14ac:dyDescent="0.25">
      <c r="A307" s="6"/>
      <c r="B307" s="6"/>
      <c r="C307" s="6"/>
      <c r="D307" s="6"/>
      <c r="E307" s="6"/>
      <c r="F307" s="6"/>
      <c r="G307" s="6"/>
      <c r="H307" s="6"/>
      <c r="I307" s="6"/>
      <c r="J307" s="6"/>
      <c r="K307" s="6"/>
    </row>
    <row r="308" spans="1:11" x14ac:dyDescent="0.25">
      <c r="A308" s="6"/>
      <c r="B308" s="6"/>
      <c r="C308" s="6"/>
      <c r="D308" s="6"/>
      <c r="E308" s="6"/>
      <c r="F308" s="6"/>
      <c r="G308" s="6"/>
      <c r="H308" s="6"/>
      <c r="I308" s="6"/>
      <c r="J308" s="6"/>
      <c r="K308" s="6"/>
    </row>
    <row r="309" spans="1:11" x14ac:dyDescent="0.25">
      <c r="A309" s="6"/>
      <c r="B309" s="6"/>
      <c r="C309" s="6"/>
      <c r="D309" s="6"/>
      <c r="E309" s="6"/>
      <c r="F309" s="6"/>
      <c r="G309" s="6"/>
      <c r="H309" s="6"/>
      <c r="I309" s="6"/>
      <c r="J309" s="6"/>
      <c r="K309" s="6"/>
    </row>
    <row r="310" spans="1:11" x14ac:dyDescent="0.25">
      <c r="A310" s="6"/>
      <c r="B310" s="6"/>
      <c r="C310" s="6"/>
      <c r="D310" s="6"/>
      <c r="E310" s="6"/>
      <c r="F310" s="6"/>
      <c r="G310" s="6"/>
      <c r="H310" s="6"/>
      <c r="I310" s="6"/>
      <c r="J310" s="6"/>
      <c r="K310" s="6"/>
    </row>
    <row r="311" spans="1:11" x14ac:dyDescent="0.25">
      <c r="A311" s="6"/>
      <c r="B311" s="6"/>
      <c r="C311" s="6"/>
      <c r="D311" s="6"/>
      <c r="E311" s="6"/>
      <c r="F311" s="6"/>
      <c r="G311" s="6"/>
      <c r="H311" s="6"/>
      <c r="I311" s="6"/>
      <c r="J311" s="6"/>
      <c r="K311" s="6"/>
    </row>
    <row r="312" spans="1:11" x14ac:dyDescent="0.25">
      <c r="A312" s="6"/>
      <c r="B312" s="6"/>
      <c r="C312" s="6"/>
      <c r="D312" s="6"/>
      <c r="E312" s="6"/>
      <c r="F312" s="6"/>
      <c r="G312" s="6"/>
      <c r="H312" s="6"/>
      <c r="I312" s="6"/>
      <c r="J312" s="6"/>
      <c r="K312" s="6"/>
    </row>
    <row r="313" spans="1:11" x14ac:dyDescent="0.25">
      <c r="A313" s="6"/>
      <c r="B313" s="6"/>
      <c r="C313" s="6"/>
      <c r="D313" s="6"/>
      <c r="E313" s="6"/>
      <c r="F313" s="6"/>
      <c r="G313" s="6"/>
      <c r="H313" s="6"/>
      <c r="I313" s="6"/>
      <c r="J313" s="6"/>
      <c r="K313" s="6"/>
    </row>
    <row r="314" spans="1:11" x14ac:dyDescent="0.25">
      <c r="A314" s="6"/>
      <c r="B314" s="6"/>
      <c r="C314" s="6"/>
      <c r="D314" s="6"/>
      <c r="E314" s="6"/>
      <c r="F314" s="6"/>
      <c r="G314" s="6"/>
      <c r="H314" s="6"/>
      <c r="I314" s="6"/>
      <c r="J314" s="6"/>
      <c r="K314" s="6"/>
    </row>
    <row r="315" spans="1:11" x14ac:dyDescent="0.25">
      <c r="A315" s="6"/>
      <c r="B315" s="6"/>
      <c r="C315" s="6"/>
      <c r="D315" s="6"/>
      <c r="E315" s="6"/>
      <c r="F315" s="6"/>
      <c r="G315" s="6"/>
      <c r="H315" s="6"/>
      <c r="I315" s="6"/>
      <c r="J315" s="6"/>
      <c r="K315" s="6"/>
    </row>
    <row r="316" spans="1:11" x14ac:dyDescent="0.25">
      <c r="A316" s="6"/>
      <c r="B316" s="6"/>
      <c r="C316" s="6"/>
      <c r="D316" s="6"/>
      <c r="E316" s="6"/>
      <c r="F316" s="6"/>
      <c r="G316" s="6"/>
      <c r="H316" s="6"/>
      <c r="I316" s="6"/>
      <c r="J316" s="6"/>
      <c r="K316" s="6"/>
    </row>
    <row r="317" spans="1:11" x14ac:dyDescent="0.25">
      <c r="A317" s="6"/>
      <c r="B317" s="6"/>
      <c r="C317" s="6"/>
      <c r="D317" s="6"/>
      <c r="E317" s="6"/>
      <c r="F317" s="6"/>
      <c r="G317" s="6"/>
      <c r="H317" s="6"/>
      <c r="I317" s="6"/>
      <c r="J317" s="6"/>
      <c r="K317" s="6"/>
    </row>
    <row r="318" spans="1:11" x14ac:dyDescent="0.25">
      <c r="A318" s="6"/>
      <c r="B318" s="6"/>
      <c r="C318" s="6"/>
      <c r="D318" s="6"/>
      <c r="E318" s="6"/>
      <c r="F318" s="6"/>
      <c r="G318" s="6"/>
      <c r="H318" s="6"/>
      <c r="I318" s="6"/>
      <c r="J318" s="6"/>
      <c r="K318" s="6"/>
    </row>
    <row r="319" spans="1:11" x14ac:dyDescent="0.25">
      <c r="A319" s="6"/>
      <c r="B319" s="6"/>
      <c r="C319" s="6"/>
      <c r="D319" s="6"/>
      <c r="E319" s="6"/>
      <c r="F319" s="6"/>
      <c r="G319" s="6"/>
      <c r="H319" s="6"/>
      <c r="I319" s="6"/>
      <c r="J319" s="6"/>
      <c r="K319" s="6"/>
    </row>
    <row r="320" spans="1:11" x14ac:dyDescent="0.25">
      <c r="A320" s="6"/>
      <c r="B320" s="6"/>
      <c r="C320" s="6"/>
      <c r="D320" s="6"/>
      <c r="E320" s="6"/>
      <c r="F320" s="6"/>
      <c r="G320" s="6"/>
      <c r="H320" s="6"/>
      <c r="I320" s="6"/>
      <c r="J320" s="6"/>
      <c r="K320" s="6"/>
    </row>
    <row r="321" spans="1:11" x14ac:dyDescent="0.25">
      <c r="A321" s="6"/>
      <c r="B321" s="6"/>
      <c r="C321" s="6"/>
      <c r="D321" s="6"/>
      <c r="E321" s="6"/>
      <c r="F321" s="6"/>
      <c r="G321" s="6"/>
      <c r="H321" s="6"/>
      <c r="I321" s="6"/>
      <c r="J321" s="6"/>
      <c r="K321" s="6"/>
    </row>
    <row r="322" spans="1:11" x14ac:dyDescent="0.25">
      <c r="A322" s="6"/>
      <c r="B322" s="6"/>
      <c r="C322" s="6"/>
      <c r="D322" s="6"/>
      <c r="E322" s="6"/>
      <c r="F322" s="6"/>
      <c r="G322" s="6"/>
      <c r="H322" s="6"/>
      <c r="I322" s="6"/>
      <c r="J322" s="6"/>
      <c r="K322" s="6"/>
    </row>
    <row r="323" spans="1:11" x14ac:dyDescent="0.25">
      <c r="A323" s="6"/>
      <c r="B323" s="6"/>
      <c r="C323" s="6"/>
      <c r="D323" s="6"/>
      <c r="E323" s="6"/>
      <c r="F323" s="6"/>
      <c r="G323" s="6"/>
      <c r="H323" s="6"/>
      <c r="I323" s="6"/>
      <c r="J323" s="6"/>
      <c r="K323" s="6"/>
    </row>
    <row r="324" spans="1:11" x14ac:dyDescent="0.25">
      <c r="A324" s="6"/>
      <c r="B324" s="6"/>
      <c r="C324" s="6"/>
      <c r="D324" s="6"/>
      <c r="E324" s="6"/>
      <c r="F324" s="6"/>
      <c r="G324" s="6"/>
      <c r="H324" s="6"/>
      <c r="I324" s="6"/>
      <c r="J324" s="6"/>
      <c r="K324" s="6"/>
    </row>
    <row r="325" spans="1:11" x14ac:dyDescent="0.25">
      <c r="A325" s="6"/>
      <c r="B325" s="6"/>
      <c r="C325" s="6"/>
      <c r="D325" s="6"/>
      <c r="E325" s="6"/>
      <c r="F325" s="6"/>
      <c r="G325" s="6"/>
      <c r="H325" s="6"/>
      <c r="I325" s="6"/>
      <c r="J325" s="6"/>
      <c r="K325" s="6"/>
    </row>
    <row r="326" spans="1:11" x14ac:dyDescent="0.25">
      <c r="A326" s="6"/>
      <c r="B326" s="6"/>
      <c r="C326" s="6"/>
      <c r="D326" s="6"/>
      <c r="E326" s="6"/>
      <c r="F326" s="6"/>
      <c r="G326" s="6"/>
      <c r="H326" s="6"/>
      <c r="I326" s="6"/>
      <c r="J326" s="6"/>
      <c r="K326" s="6"/>
    </row>
    <row r="327" spans="1:11" x14ac:dyDescent="0.25">
      <c r="A327" s="6"/>
      <c r="B327" s="6"/>
      <c r="C327" s="6"/>
      <c r="D327" s="6"/>
      <c r="E327" s="6"/>
      <c r="F327" s="6"/>
      <c r="G327" s="6"/>
      <c r="H327" s="6"/>
      <c r="I327" s="6"/>
      <c r="J327" s="6"/>
      <c r="K327" s="6"/>
    </row>
    <row r="328" spans="1:11" x14ac:dyDescent="0.25">
      <c r="A328" s="6"/>
      <c r="B328" s="6"/>
      <c r="C328" s="6"/>
      <c r="D328" s="6"/>
      <c r="E328" s="6"/>
      <c r="F328" s="6"/>
      <c r="G328" s="6"/>
      <c r="H328" s="6"/>
      <c r="I328" s="6"/>
      <c r="J328" s="6"/>
      <c r="K328" s="6"/>
    </row>
    <row r="329" spans="1:11" x14ac:dyDescent="0.25">
      <c r="A329" s="6"/>
      <c r="B329" s="6"/>
      <c r="C329" s="6"/>
      <c r="D329" s="6"/>
      <c r="E329" s="6"/>
      <c r="F329" s="6"/>
      <c r="G329" s="6"/>
      <c r="H329" s="6"/>
      <c r="I329" s="6"/>
      <c r="J329" s="6"/>
      <c r="K329" s="6"/>
    </row>
    <row r="330" spans="1:11" x14ac:dyDescent="0.25">
      <c r="A330" s="6"/>
      <c r="B330" s="6"/>
      <c r="C330" s="6"/>
      <c r="D330" s="6"/>
      <c r="E330" s="6"/>
      <c r="F330" s="6"/>
      <c r="G330" s="6"/>
      <c r="H330" s="6"/>
      <c r="I330" s="6"/>
      <c r="J330" s="6"/>
      <c r="K330" s="6"/>
    </row>
    <row r="331" spans="1:11" x14ac:dyDescent="0.25">
      <c r="A331" s="6"/>
      <c r="B331" s="6"/>
      <c r="C331" s="6"/>
      <c r="D331" s="6"/>
      <c r="E331" s="6"/>
      <c r="F331" s="6"/>
      <c r="G331" s="6"/>
      <c r="H331" s="6"/>
      <c r="I331" s="6"/>
      <c r="J331" s="6"/>
      <c r="K331" s="6"/>
    </row>
    <row r="332" spans="1:11" x14ac:dyDescent="0.25">
      <c r="A332" s="6"/>
      <c r="B332" s="6"/>
      <c r="C332" s="6"/>
      <c r="D332" s="6"/>
      <c r="E332" s="6"/>
      <c r="F332" s="6"/>
      <c r="G332" s="6"/>
      <c r="H332" s="6"/>
      <c r="I332" s="6"/>
      <c r="J332" s="6"/>
      <c r="K332" s="6"/>
    </row>
    <row r="333" spans="1:11" x14ac:dyDescent="0.25">
      <c r="A333" s="6"/>
      <c r="B333" s="6"/>
      <c r="C333" s="6"/>
      <c r="D333" s="6"/>
      <c r="E333" s="6"/>
      <c r="F333" s="6"/>
      <c r="G333" s="6"/>
      <c r="H333" s="6"/>
      <c r="I333" s="6"/>
      <c r="J333" s="6"/>
      <c r="K333" s="6"/>
    </row>
    <row r="334" spans="1:11" x14ac:dyDescent="0.25">
      <c r="A334" s="6"/>
      <c r="B334" s="6"/>
      <c r="C334" s="6"/>
      <c r="D334" s="6"/>
      <c r="E334" s="6"/>
      <c r="F334" s="6"/>
      <c r="G334" s="6"/>
      <c r="H334" s="6"/>
      <c r="I334" s="6"/>
      <c r="J334" s="6"/>
      <c r="K334" s="6"/>
    </row>
    <row r="335" spans="1:11" x14ac:dyDescent="0.25">
      <c r="A335" s="6"/>
      <c r="B335" s="6"/>
      <c r="C335" s="6"/>
      <c r="D335" s="6"/>
      <c r="E335" s="6"/>
      <c r="F335" s="6"/>
      <c r="G335" s="6"/>
      <c r="H335" s="6"/>
      <c r="I335" s="6"/>
      <c r="J335" s="6"/>
      <c r="K335" s="6"/>
    </row>
    <row r="336" spans="1:11" x14ac:dyDescent="0.25">
      <c r="A336" s="6"/>
      <c r="B336" s="6"/>
      <c r="C336" s="6"/>
      <c r="D336" s="6"/>
      <c r="E336" s="6"/>
      <c r="F336" s="6"/>
      <c r="G336" s="6"/>
      <c r="H336" s="6"/>
      <c r="I336" s="6"/>
      <c r="J336" s="6"/>
      <c r="K336" s="6"/>
    </row>
    <row r="337" spans="1:11" x14ac:dyDescent="0.25">
      <c r="A337" s="6"/>
      <c r="B337" s="6"/>
      <c r="C337" s="6"/>
      <c r="D337" s="6"/>
      <c r="E337" s="6"/>
      <c r="F337" s="6"/>
      <c r="G337" s="6"/>
      <c r="H337" s="6"/>
      <c r="I337" s="6"/>
      <c r="J337" s="6"/>
      <c r="K337" s="6"/>
    </row>
    <row r="338" spans="1:11" x14ac:dyDescent="0.25">
      <c r="A338" s="6"/>
      <c r="B338" s="6"/>
      <c r="C338" s="6"/>
      <c r="D338" s="6"/>
      <c r="E338" s="6"/>
      <c r="F338" s="6"/>
      <c r="G338" s="6"/>
      <c r="H338" s="6"/>
      <c r="I338" s="6"/>
      <c r="J338" s="6"/>
      <c r="K338" s="6"/>
    </row>
    <row r="339" spans="1:11" x14ac:dyDescent="0.25">
      <c r="A339" s="6"/>
      <c r="B339" s="6"/>
      <c r="C339" s="6"/>
      <c r="D339" s="6"/>
      <c r="E339" s="6"/>
      <c r="F339" s="6"/>
      <c r="G339" s="6"/>
      <c r="H339" s="6"/>
      <c r="I339" s="6"/>
      <c r="J339" s="6"/>
      <c r="K339" s="6"/>
    </row>
    <row r="340" spans="1:11" x14ac:dyDescent="0.25">
      <c r="A340" s="6"/>
      <c r="B340" s="6"/>
      <c r="C340" s="6"/>
      <c r="D340" s="6"/>
      <c r="E340" s="6"/>
      <c r="F340" s="6"/>
      <c r="G340" s="6"/>
      <c r="H340" s="6"/>
      <c r="I340" s="6"/>
      <c r="J340" s="6"/>
      <c r="K340" s="6"/>
    </row>
    <row r="341" spans="1:11" x14ac:dyDescent="0.25">
      <c r="A341" s="6"/>
      <c r="B341" s="6"/>
      <c r="C341" s="6"/>
      <c r="D341" s="6"/>
      <c r="E341" s="6"/>
      <c r="F341" s="6"/>
      <c r="G341" s="6"/>
      <c r="H341" s="6"/>
      <c r="I341" s="6"/>
      <c r="J341" s="6"/>
      <c r="K341" s="6"/>
    </row>
    <row r="342" spans="1:11" x14ac:dyDescent="0.25">
      <c r="A342" s="6"/>
      <c r="B342" s="6"/>
      <c r="C342" s="6"/>
      <c r="D342" s="6"/>
      <c r="E342" s="6"/>
      <c r="F342" s="6"/>
      <c r="G342" s="6"/>
      <c r="H342" s="6"/>
      <c r="I342" s="6"/>
      <c r="J342" s="6"/>
      <c r="K342" s="6"/>
    </row>
    <row r="343" spans="1:11" x14ac:dyDescent="0.25">
      <c r="A343" s="6"/>
      <c r="B343" s="6"/>
      <c r="C343" s="6"/>
      <c r="D343" s="6"/>
      <c r="E343" s="6"/>
      <c r="F343" s="6"/>
      <c r="G343" s="6"/>
      <c r="H343" s="6"/>
      <c r="I343" s="6"/>
      <c r="J343" s="6"/>
      <c r="K343" s="6"/>
    </row>
    <row r="344" spans="1:11" x14ac:dyDescent="0.25">
      <c r="A344" s="6"/>
      <c r="B344" s="6"/>
      <c r="C344" s="6"/>
      <c r="D344" s="6"/>
      <c r="E344" s="6"/>
      <c r="F344" s="6"/>
      <c r="G344" s="6"/>
      <c r="H344" s="6"/>
      <c r="I344" s="6"/>
      <c r="J344" s="6"/>
      <c r="K344" s="6"/>
    </row>
    <row r="345" spans="1:11" x14ac:dyDescent="0.25">
      <c r="A345" s="6"/>
      <c r="B345" s="6"/>
      <c r="C345" s="6"/>
      <c r="D345" s="6"/>
      <c r="E345" s="6"/>
      <c r="F345" s="6"/>
      <c r="G345" s="6"/>
      <c r="H345" s="6"/>
      <c r="I345" s="6"/>
      <c r="J345" s="6"/>
      <c r="K345" s="6"/>
    </row>
    <row r="346" spans="1:11" x14ac:dyDescent="0.25">
      <c r="A346" s="6"/>
      <c r="B346" s="6"/>
      <c r="C346" s="6"/>
      <c r="D346" s="6"/>
      <c r="E346" s="6"/>
      <c r="F346" s="6"/>
      <c r="G346" s="6"/>
      <c r="H346" s="6"/>
      <c r="I346" s="6"/>
      <c r="J346" s="6"/>
      <c r="K346" s="6"/>
    </row>
    <row r="347" spans="1:11" x14ac:dyDescent="0.25">
      <c r="A347" s="6"/>
      <c r="B347" s="6"/>
      <c r="C347" s="6"/>
      <c r="D347" s="6"/>
      <c r="E347" s="6"/>
      <c r="F347" s="6"/>
      <c r="G347" s="6"/>
      <c r="H347" s="6"/>
      <c r="I347" s="6"/>
      <c r="J347" s="6"/>
      <c r="K347" s="6"/>
    </row>
    <row r="348" spans="1:11" x14ac:dyDescent="0.25">
      <c r="A348" s="6"/>
      <c r="B348" s="6"/>
      <c r="C348" s="6"/>
      <c r="D348" s="6"/>
      <c r="E348" s="6"/>
      <c r="F348" s="6"/>
      <c r="G348" s="6"/>
      <c r="H348" s="6"/>
      <c r="I348" s="6"/>
      <c r="J348" s="6"/>
      <c r="K348" s="6"/>
    </row>
    <row r="349" spans="1:11" x14ac:dyDescent="0.25">
      <c r="A349" s="6"/>
      <c r="B349" s="6"/>
      <c r="C349" s="6"/>
      <c r="D349" s="6"/>
      <c r="E349" s="6"/>
      <c r="F349" s="6"/>
      <c r="G349" s="6"/>
      <c r="H349" s="6"/>
      <c r="I349" s="6"/>
      <c r="J349" s="6"/>
      <c r="K349" s="6"/>
    </row>
    <row r="350" spans="1:11" x14ac:dyDescent="0.25">
      <c r="A350" s="6"/>
      <c r="B350" s="6"/>
      <c r="C350" s="6"/>
      <c r="D350" s="6"/>
      <c r="E350" s="6"/>
      <c r="F350" s="6"/>
      <c r="G350" s="6"/>
      <c r="H350" s="6"/>
      <c r="I350" s="6"/>
      <c r="J350" s="6"/>
      <c r="K350" s="6"/>
    </row>
    <row r="351" spans="1:11" x14ac:dyDescent="0.25">
      <c r="A351" s="6"/>
      <c r="B351" s="6"/>
      <c r="C351" s="6"/>
      <c r="D351" s="6"/>
      <c r="E351" s="6"/>
      <c r="F351" s="6"/>
      <c r="G351" s="6"/>
      <c r="H351" s="6"/>
      <c r="I351" s="6"/>
      <c r="J351" s="6"/>
      <c r="K351" s="6"/>
    </row>
    <row r="352" spans="1:11" x14ac:dyDescent="0.25">
      <c r="A352" s="6"/>
      <c r="B352" s="6"/>
      <c r="C352" s="6"/>
      <c r="D352" s="6"/>
      <c r="E352" s="6"/>
      <c r="F352" s="6"/>
      <c r="G352" s="6"/>
      <c r="H352" s="6"/>
      <c r="I352" s="6"/>
      <c r="J352" s="6"/>
      <c r="K352" s="6"/>
    </row>
    <row r="353" spans="1:11" x14ac:dyDescent="0.25">
      <c r="A353" s="6"/>
      <c r="B353" s="6"/>
      <c r="C353" s="6"/>
      <c r="D353" s="6"/>
      <c r="E353" s="6"/>
      <c r="F353" s="6"/>
      <c r="G353" s="6"/>
      <c r="H353" s="6"/>
      <c r="I353" s="6"/>
      <c r="J353" s="6"/>
      <c r="K353" s="6"/>
    </row>
    <row r="354" spans="1:11" x14ac:dyDescent="0.25">
      <c r="A354" s="6"/>
      <c r="B354" s="6"/>
      <c r="C354" s="6"/>
      <c r="D354" s="6"/>
      <c r="E354" s="6"/>
      <c r="F354" s="6"/>
      <c r="G354" s="6"/>
      <c r="H354" s="6"/>
      <c r="I354" s="6"/>
      <c r="J354" s="6"/>
      <c r="K354" s="6"/>
    </row>
    <row r="355" spans="1:11" x14ac:dyDescent="0.25">
      <c r="A355" s="6"/>
      <c r="B355" s="6"/>
      <c r="C355" s="6"/>
      <c r="D355" s="6"/>
      <c r="E355" s="6"/>
      <c r="F355" s="6"/>
      <c r="G355" s="6"/>
      <c r="H355" s="6"/>
      <c r="I355" s="6"/>
      <c r="J355" s="6"/>
      <c r="K355" s="6"/>
    </row>
    <row r="356" spans="1:11" x14ac:dyDescent="0.25">
      <c r="A356" s="6"/>
      <c r="B356" s="6"/>
      <c r="C356" s="6"/>
      <c r="D356" s="6"/>
      <c r="E356" s="6"/>
      <c r="F356" s="6"/>
      <c r="G356" s="6"/>
      <c r="H356" s="6"/>
      <c r="I356" s="6"/>
      <c r="J356" s="6"/>
      <c r="K356" s="6"/>
    </row>
    <row r="357" spans="1:11" x14ac:dyDescent="0.25">
      <c r="A357" s="6"/>
      <c r="B357" s="6"/>
      <c r="C357" s="6"/>
      <c r="D357" s="6"/>
      <c r="E357" s="6"/>
      <c r="F357" s="6"/>
      <c r="G357" s="6"/>
      <c r="H357" s="6"/>
      <c r="I357" s="6"/>
      <c r="J357" s="6"/>
      <c r="K357" s="6"/>
    </row>
    <row r="358" spans="1:11" x14ac:dyDescent="0.25">
      <c r="A358" s="6"/>
      <c r="B358" s="6"/>
      <c r="C358" s="6"/>
      <c r="D358" s="6"/>
      <c r="E358" s="6"/>
      <c r="F358" s="6"/>
      <c r="G358" s="6"/>
      <c r="H358" s="6"/>
      <c r="I358" s="6"/>
      <c r="J358" s="6"/>
      <c r="K358" s="6"/>
    </row>
    <row r="359" spans="1:11" x14ac:dyDescent="0.25">
      <c r="A359" s="6"/>
      <c r="B359" s="6"/>
      <c r="C359" s="6"/>
      <c r="D359" s="6"/>
      <c r="E359" s="6"/>
      <c r="F359" s="6"/>
      <c r="G359" s="6"/>
      <c r="H359" s="6"/>
      <c r="I359" s="6"/>
      <c r="J359" s="6"/>
      <c r="K359" s="6"/>
    </row>
    <row r="360" spans="1:11" x14ac:dyDescent="0.25">
      <c r="A360" s="6"/>
      <c r="B360" s="6"/>
      <c r="C360" s="6"/>
      <c r="D360" s="6"/>
      <c r="E360" s="6"/>
      <c r="F360" s="6"/>
      <c r="G360" s="6"/>
      <c r="H360" s="6"/>
      <c r="I360" s="6"/>
      <c r="J360" s="6"/>
      <c r="K360" s="6"/>
    </row>
    <row r="361" spans="1:11" x14ac:dyDescent="0.25">
      <c r="A361" s="6"/>
      <c r="B361" s="6"/>
      <c r="C361" s="6"/>
      <c r="D361" s="6"/>
      <c r="E361" s="6"/>
      <c r="F361" s="6"/>
      <c r="G361" s="6"/>
      <c r="H361" s="6"/>
      <c r="I361" s="6"/>
      <c r="J361" s="6"/>
      <c r="K361" s="6"/>
    </row>
    <row r="362" spans="1:11" x14ac:dyDescent="0.25">
      <c r="A362" s="6"/>
      <c r="B362" s="6"/>
      <c r="C362" s="6"/>
      <c r="D362" s="6"/>
      <c r="E362" s="6"/>
      <c r="F362" s="6"/>
      <c r="G362" s="6"/>
      <c r="H362" s="6"/>
      <c r="I362" s="6"/>
      <c r="J362" s="6"/>
      <c r="K362" s="6"/>
    </row>
    <row r="363" spans="1:11" x14ac:dyDescent="0.25">
      <c r="A363" s="6"/>
      <c r="B363" s="6"/>
      <c r="C363" s="6"/>
      <c r="D363" s="6"/>
      <c r="E363" s="6"/>
      <c r="F363" s="6"/>
      <c r="G363" s="6"/>
      <c r="H363" s="6"/>
      <c r="I363" s="6"/>
      <c r="J363" s="6"/>
      <c r="K363" s="6"/>
    </row>
    <row r="364" spans="1:11" x14ac:dyDescent="0.25">
      <c r="A364" s="6"/>
      <c r="B364" s="6"/>
      <c r="C364" s="6"/>
      <c r="D364" s="6"/>
      <c r="E364" s="6"/>
      <c r="F364" s="6"/>
      <c r="G364" s="6"/>
      <c r="H364" s="6"/>
      <c r="I364" s="6"/>
      <c r="J364" s="6"/>
      <c r="K364" s="6"/>
    </row>
    <row r="365" spans="1:11" x14ac:dyDescent="0.25">
      <c r="A365" s="6"/>
      <c r="B365" s="6"/>
      <c r="C365" s="6"/>
      <c r="D365" s="6"/>
      <c r="E365" s="6"/>
      <c r="F365" s="6"/>
      <c r="G365" s="6"/>
      <c r="H365" s="6"/>
      <c r="I365" s="6"/>
      <c r="J365" s="6"/>
      <c r="K365" s="6"/>
    </row>
    <row r="366" spans="1:11" x14ac:dyDescent="0.25">
      <c r="A366" s="6"/>
      <c r="B366" s="6"/>
      <c r="C366" s="6"/>
      <c r="D366" s="6"/>
      <c r="E366" s="6"/>
      <c r="F366" s="6"/>
      <c r="G366" s="6"/>
      <c r="H366" s="6"/>
      <c r="I366" s="6"/>
      <c r="J366" s="6"/>
      <c r="K366" s="6"/>
    </row>
    <row r="367" spans="1:11" x14ac:dyDescent="0.25">
      <c r="A367" s="6"/>
      <c r="B367" s="6"/>
      <c r="C367" s="6"/>
      <c r="D367" s="6"/>
      <c r="E367" s="6"/>
      <c r="F367" s="6"/>
      <c r="G367" s="6"/>
      <c r="H367" s="6"/>
      <c r="I367" s="6"/>
      <c r="J367" s="6"/>
      <c r="K367" s="6"/>
    </row>
    <row r="368" spans="1:11" x14ac:dyDescent="0.25">
      <c r="A368" s="6"/>
      <c r="B368" s="6"/>
      <c r="C368" s="6"/>
      <c r="D368" s="6"/>
      <c r="E368" s="6"/>
      <c r="F368" s="6"/>
      <c r="G368" s="6"/>
      <c r="H368" s="6"/>
      <c r="I368" s="6"/>
      <c r="J368" s="6"/>
      <c r="K368" s="6"/>
    </row>
    <row r="369" spans="1:11" x14ac:dyDescent="0.25">
      <c r="A369" s="6"/>
      <c r="B369" s="6"/>
      <c r="C369" s="6"/>
      <c r="D369" s="6"/>
      <c r="E369" s="6"/>
      <c r="F369" s="6"/>
      <c r="G369" s="6"/>
      <c r="H369" s="6"/>
      <c r="I369" s="6"/>
      <c r="J369" s="6"/>
      <c r="K369" s="6"/>
    </row>
    <row r="370" spans="1:11" x14ac:dyDescent="0.25">
      <c r="A370" s="6"/>
      <c r="B370" s="6"/>
      <c r="C370" s="6"/>
      <c r="D370" s="6"/>
      <c r="E370" s="6"/>
      <c r="F370" s="6"/>
      <c r="G370" s="6"/>
      <c r="H370" s="6"/>
      <c r="I370" s="6"/>
      <c r="J370" s="6"/>
      <c r="K370" s="6"/>
    </row>
    <row r="371" spans="1:11" x14ac:dyDescent="0.25">
      <c r="A371" s="6"/>
      <c r="B371" s="6"/>
      <c r="C371" s="6"/>
      <c r="D371" s="6"/>
      <c r="E371" s="6"/>
      <c r="F371" s="6"/>
      <c r="G371" s="6"/>
      <c r="H371" s="6"/>
      <c r="I371" s="6"/>
      <c r="J371" s="6"/>
      <c r="K371" s="6"/>
    </row>
    <row r="372" spans="1:11" x14ac:dyDescent="0.25">
      <c r="A372" s="6"/>
      <c r="B372" s="6"/>
      <c r="C372" s="6"/>
      <c r="D372" s="6"/>
      <c r="E372" s="6"/>
      <c r="F372" s="6"/>
      <c r="G372" s="6"/>
      <c r="H372" s="6"/>
      <c r="I372" s="6"/>
      <c r="J372" s="6"/>
      <c r="K372" s="6"/>
    </row>
    <row r="373" spans="1:11" x14ac:dyDescent="0.25">
      <c r="A373" s="6"/>
      <c r="B373" s="6"/>
      <c r="C373" s="6"/>
      <c r="D373" s="6"/>
      <c r="E373" s="6"/>
      <c r="F373" s="6"/>
      <c r="G373" s="6"/>
      <c r="H373" s="6"/>
      <c r="I373" s="6"/>
      <c r="J373" s="6"/>
      <c r="K373" s="6"/>
    </row>
    <row r="374" spans="1:11" x14ac:dyDescent="0.25">
      <c r="A374" s="6"/>
      <c r="B374" s="6"/>
      <c r="C374" s="6"/>
      <c r="D374" s="6"/>
      <c r="E374" s="6"/>
      <c r="F374" s="6"/>
      <c r="G374" s="6"/>
      <c r="H374" s="6"/>
      <c r="I374" s="6"/>
      <c r="J374" s="6"/>
      <c r="K374" s="6"/>
    </row>
    <row r="375" spans="1:11" x14ac:dyDescent="0.25">
      <c r="A375" s="6"/>
      <c r="B375" s="6"/>
      <c r="C375" s="6"/>
      <c r="D375" s="6"/>
      <c r="E375" s="6"/>
      <c r="F375" s="6"/>
      <c r="G375" s="6"/>
      <c r="H375" s="6"/>
      <c r="I375" s="6"/>
      <c r="J375" s="6"/>
      <c r="K375" s="6"/>
    </row>
    <row r="376" spans="1:11" x14ac:dyDescent="0.25">
      <c r="A376" s="6"/>
      <c r="B376" s="6"/>
      <c r="C376" s="6"/>
      <c r="D376" s="6"/>
      <c r="E376" s="6"/>
      <c r="F376" s="6"/>
      <c r="G376" s="6"/>
      <c r="H376" s="6"/>
      <c r="I376" s="6"/>
      <c r="J376" s="6"/>
      <c r="K376" s="6"/>
    </row>
    <row r="377" spans="1:11" x14ac:dyDescent="0.25">
      <c r="A377" s="6"/>
      <c r="B377" s="6"/>
      <c r="C377" s="6"/>
      <c r="D377" s="6"/>
      <c r="E377" s="6"/>
      <c r="F377" s="6"/>
      <c r="G377" s="6"/>
      <c r="H377" s="6"/>
      <c r="I377" s="6"/>
      <c r="J377" s="6"/>
      <c r="K377" s="6"/>
    </row>
    <row r="378" spans="1:11" x14ac:dyDescent="0.25">
      <c r="A378" s="6"/>
      <c r="B378" s="6"/>
      <c r="C378" s="6"/>
      <c r="D378" s="6"/>
      <c r="E378" s="6"/>
      <c r="F378" s="6"/>
      <c r="G378" s="6"/>
      <c r="H378" s="6"/>
      <c r="I378" s="6"/>
      <c r="J378" s="6"/>
      <c r="K378" s="6"/>
    </row>
    <row r="379" spans="1:11" x14ac:dyDescent="0.25">
      <c r="A379" s="6"/>
      <c r="B379" s="6"/>
      <c r="C379" s="6"/>
      <c r="D379" s="6"/>
      <c r="E379" s="6"/>
      <c r="F379" s="6"/>
      <c r="G379" s="6"/>
      <c r="H379" s="6"/>
      <c r="I379" s="6"/>
      <c r="J379" s="6"/>
      <c r="K379" s="6"/>
    </row>
    <row r="380" spans="1:11" x14ac:dyDescent="0.25">
      <c r="A380" s="6"/>
      <c r="B380" s="6"/>
      <c r="C380" s="6"/>
      <c r="D380" s="6"/>
      <c r="E380" s="6"/>
      <c r="F380" s="6"/>
      <c r="G380" s="6"/>
      <c r="H380" s="6"/>
      <c r="I380" s="6"/>
      <c r="J380" s="6"/>
      <c r="K380" s="6"/>
    </row>
    <row r="381" spans="1:11" x14ac:dyDescent="0.25">
      <c r="A381" s="6"/>
      <c r="B381" s="6"/>
      <c r="C381" s="6"/>
      <c r="D381" s="6"/>
      <c r="E381" s="6"/>
      <c r="F381" s="6"/>
      <c r="G381" s="6"/>
      <c r="H381" s="6"/>
      <c r="I381" s="6"/>
      <c r="J381" s="6"/>
      <c r="K381" s="6"/>
    </row>
    <row r="382" spans="1:11" x14ac:dyDescent="0.25">
      <c r="A382" s="6"/>
      <c r="B382" s="6"/>
      <c r="C382" s="6"/>
      <c r="D382" s="6"/>
      <c r="E382" s="6"/>
      <c r="F382" s="6"/>
      <c r="G382" s="6"/>
      <c r="H382" s="6"/>
      <c r="I382" s="6"/>
      <c r="J382" s="6"/>
      <c r="K382" s="6"/>
    </row>
    <row r="383" spans="1:11" x14ac:dyDescent="0.25">
      <c r="A383" s="6"/>
      <c r="B383" s="6"/>
      <c r="C383" s="6"/>
      <c r="D383" s="6"/>
      <c r="E383" s="6"/>
      <c r="F383" s="6"/>
      <c r="G383" s="6"/>
      <c r="H383" s="6"/>
      <c r="I383" s="6"/>
      <c r="J383" s="6"/>
      <c r="K383" s="6"/>
    </row>
    <row r="384" spans="1:11" x14ac:dyDescent="0.25">
      <c r="A384" s="6"/>
      <c r="B384" s="6"/>
      <c r="C384" s="6"/>
      <c r="D384" s="6"/>
      <c r="E384" s="6"/>
      <c r="F384" s="6"/>
      <c r="G384" s="6"/>
      <c r="H384" s="6"/>
      <c r="I384" s="6"/>
      <c r="J384" s="6"/>
      <c r="K384" s="6"/>
    </row>
    <row r="385" spans="1:11" x14ac:dyDescent="0.25">
      <c r="A385" s="6"/>
      <c r="B385" s="6"/>
      <c r="C385" s="6"/>
      <c r="D385" s="6"/>
      <c r="E385" s="6"/>
      <c r="F385" s="6"/>
      <c r="G385" s="6"/>
      <c r="H385" s="6"/>
      <c r="I385" s="6"/>
      <c r="J385" s="6"/>
      <c r="K385" s="6"/>
    </row>
    <row r="386" spans="1:11" x14ac:dyDescent="0.25">
      <c r="A386" s="6"/>
      <c r="B386" s="6"/>
      <c r="C386" s="6"/>
      <c r="D386" s="6"/>
      <c r="E386" s="6"/>
      <c r="F386" s="6"/>
      <c r="G386" s="6"/>
      <c r="H386" s="6"/>
      <c r="I386" s="6"/>
      <c r="J386" s="6"/>
      <c r="K386" s="6"/>
    </row>
    <row r="387" spans="1:11" x14ac:dyDescent="0.25">
      <c r="A387" s="6"/>
      <c r="B387" s="6"/>
      <c r="C387" s="6"/>
      <c r="D387" s="6"/>
      <c r="E387" s="6"/>
      <c r="F387" s="6"/>
      <c r="G387" s="6"/>
      <c r="H387" s="6"/>
      <c r="I387" s="6"/>
      <c r="J387" s="6"/>
      <c r="K387" s="6"/>
    </row>
    <row r="388" spans="1:11" x14ac:dyDescent="0.25">
      <c r="A388" s="6"/>
      <c r="B388" s="6"/>
      <c r="C388" s="6"/>
      <c r="D388" s="6"/>
      <c r="E388" s="6"/>
      <c r="F388" s="6"/>
      <c r="G388" s="6"/>
      <c r="H388" s="6"/>
      <c r="I388" s="6"/>
      <c r="J388" s="6"/>
      <c r="K388" s="6"/>
    </row>
    <row r="389" spans="1:11" x14ac:dyDescent="0.25">
      <c r="A389" s="6"/>
      <c r="B389" s="6"/>
      <c r="C389" s="6"/>
      <c r="D389" s="6"/>
      <c r="E389" s="6"/>
      <c r="F389" s="6"/>
      <c r="G389" s="6"/>
      <c r="H389" s="6"/>
      <c r="I389" s="6"/>
      <c r="J389" s="6"/>
      <c r="K389" s="6"/>
    </row>
    <row r="390" spans="1:11" x14ac:dyDescent="0.25">
      <c r="A390" s="6"/>
      <c r="B390" s="6"/>
      <c r="C390" s="6"/>
      <c r="D390" s="6"/>
      <c r="E390" s="6"/>
      <c r="F390" s="6"/>
      <c r="G390" s="6"/>
      <c r="H390" s="6"/>
      <c r="I390" s="6"/>
      <c r="J390" s="6"/>
      <c r="K390" s="6"/>
    </row>
    <row r="391" spans="1:11" x14ac:dyDescent="0.25">
      <c r="A391" s="6"/>
      <c r="B391" s="6"/>
      <c r="C391" s="6"/>
      <c r="D391" s="6"/>
      <c r="E391" s="6"/>
      <c r="F391" s="6"/>
      <c r="G391" s="6"/>
      <c r="H391" s="6"/>
      <c r="I391" s="6"/>
      <c r="J391" s="6"/>
      <c r="K391" s="6"/>
    </row>
    <row r="392" spans="1:11" x14ac:dyDescent="0.25">
      <c r="A392" s="6"/>
      <c r="B392" s="6"/>
      <c r="C392" s="6"/>
      <c r="D392" s="6"/>
      <c r="E392" s="6"/>
      <c r="F392" s="6"/>
      <c r="G392" s="6"/>
      <c r="H392" s="6"/>
      <c r="I392" s="6"/>
      <c r="J392" s="6"/>
      <c r="K392" s="6"/>
    </row>
    <row r="393" spans="1:11" x14ac:dyDescent="0.25">
      <c r="A393" s="6"/>
      <c r="B393" s="6"/>
      <c r="C393" s="6"/>
      <c r="D393" s="6"/>
      <c r="E393" s="6"/>
      <c r="F393" s="6"/>
      <c r="G393" s="6"/>
      <c r="H393" s="6"/>
      <c r="I393" s="6"/>
      <c r="J393" s="6"/>
      <c r="K393" s="6"/>
    </row>
    <row r="394" spans="1:11" x14ac:dyDescent="0.25">
      <c r="A394" s="6"/>
      <c r="B394" s="6"/>
      <c r="C394" s="6"/>
      <c r="D394" s="6"/>
      <c r="E394" s="6"/>
      <c r="F394" s="6"/>
      <c r="G394" s="6"/>
      <c r="H394" s="6"/>
      <c r="I394" s="6"/>
      <c r="J394" s="6"/>
      <c r="K394" s="6"/>
    </row>
    <row r="395" spans="1:11" x14ac:dyDescent="0.25">
      <c r="A395" s="6"/>
      <c r="B395" s="6"/>
      <c r="C395" s="6"/>
      <c r="D395" s="6"/>
      <c r="E395" s="6"/>
      <c r="F395" s="6"/>
      <c r="G395" s="6"/>
      <c r="H395" s="6"/>
      <c r="I395" s="6"/>
      <c r="J395" s="6"/>
      <c r="K395" s="6"/>
    </row>
    <row r="396" spans="1:11" x14ac:dyDescent="0.25">
      <c r="A396" s="6"/>
      <c r="B396" s="6"/>
      <c r="C396" s="6"/>
      <c r="D396" s="6"/>
      <c r="E396" s="6"/>
      <c r="F396" s="6"/>
      <c r="G396" s="6"/>
      <c r="H396" s="6"/>
      <c r="I396" s="6"/>
      <c r="J396" s="6"/>
      <c r="K396" s="6"/>
    </row>
    <row r="397" spans="1:11" x14ac:dyDescent="0.25">
      <c r="A397" s="6"/>
      <c r="B397" s="6"/>
      <c r="C397" s="6"/>
      <c r="D397" s="6"/>
      <c r="E397" s="6"/>
      <c r="F397" s="6"/>
      <c r="G397" s="6"/>
      <c r="H397" s="6"/>
      <c r="I397" s="6"/>
      <c r="J397" s="6"/>
      <c r="K397" s="6"/>
    </row>
    <row r="398" spans="1:11" x14ac:dyDescent="0.25">
      <c r="A398" s="6"/>
      <c r="B398" s="6"/>
      <c r="C398" s="6"/>
      <c r="D398" s="6"/>
      <c r="E398" s="6"/>
      <c r="F398" s="6"/>
      <c r="G398" s="6"/>
      <c r="H398" s="6"/>
      <c r="I398" s="6"/>
      <c r="J398" s="6"/>
      <c r="K398" s="6"/>
    </row>
    <row r="399" spans="1:11" x14ac:dyDescent="0.25">
      <c r="A399" s="6"/>
      <c r="B399" s="6"/>
      <c r="C399" s="6"/>
      <c r="D399" s="6"/>
      <c r="E399" s="6"/>
      <c r="F399" s="6"/>
      <c r="G399" s="6"/>
      <c r="H399" s="6"/>
      <c r="I399" s="6"/>
      <c r="J399" s="6"/>
      <c r="K399" s="6"/>
    </row>
    <row r="400" spans="1:11" x14ac:dyDescent="0.25">
      <c r="A400" s="6"/>
      <c r="B400" s="6"/>
      <c r="C400" s="6"/>
      <c r="D400" s="6"/>
      <c r="E400" s="6"/>
      <c r="F400" s="6"/>
      <c r="G400" s="6"/>
      <c r="H400" s="6"/>
      <c r="I400" s="6"/>
      <c r="J400" s="6"/>
      <c r="K400" s="6"/>
    </row>
    <row r="401" spans="1:11" x14ac:dyDescent="0.25">
      <c r="A401" s="6"/>
      <c r="B401" s="6"/>
      <c r="C401" s="6"/>
      <c r="D401" s="6"/>
      <c r="E401" s="6"/>
      <c r="F401" s="6"/>
      <c r="G401" s="6"/>
      <c r="H401" s="6"/>
      <c r="I401" s="6"/>
      <c r="J401" s="6"/>
      <c r="K401" s="6"/>
    </row>
    <row r="402" spans="1:11" x14ac:dyDescent="0.25">
      <c r="A402" s="6"/>
      <c r="B402" s="6"/>
      <c r="C402" s="6"/>
      <c r="D402" s="6"/>
      <c r="E402" s="6"/>
      <c r="F402" s="6"/>
      <c r="G402" s="6"/>
      <c r="H402" s="6"/>
      <c r="I402" s="6"/>
      <c r="J402" s="6"/>
      <c r="K402" s="6"/>
    </row>
    <row r="403" spans="1:11" x14ac:dyDescent="0.25">
      <c r="A403" s="6"/>
      <c r="B403" s="6"/>
      <c r="C403" s="6"/>
      <c r="D403" s="6"/>
      <c r="E403" s="6"/>
      <c r="F403" s="6"/>
      <c r="G403" s="6"/>
      <c r="H403" s="6"/>
      <c r="I403" s="6"/>
      <c r="J403" s="6"/>
      <c r="K403" s="6"/>
    </row>
    <row r="404" spans="1:11" x14ac:dyDescent="0.25">
      <c r="A404" s="6"/>
      <c r="B404" s="6"/>
      <c r="C404" s="6"/>
      <c r="D404" s="6"/>
      <c r="E404" s="6"/>
      <c r="F404" s="6"/>
      <c r="G404" s="6"/>
      <c r="H404" s="6"/>
      <c r="I404" s="6"/>
      <c r="J404" s="6"/>
      <c r="K404" s="6"/>
    </row>
    <row r="405" spans="1:11" x14ac:dyDescent="0.25">
      <c r="A405" s="6"/>
      <c r="B405" s="6"/>
      <c r="C405" s="6"/>
      <c r="D405" s="6"/>
      <c r="E405" s="6"/>
      <c r="F405" s="6"/>
      <c r="G405" s="6"/>
      <c r="H405" s="6"/>
      <c r="I405" s="6"/>
      <c r="J405" s="6"/>
      <c r="K405" s="6"/>
    </row>
    <row r="406" spans="1:11" x14ac:dyDescent="0.25">
      <c r="A406" s="6"/>
      <c r="B406" s="6"/>
      <c r="C406" s="6"/>
      <c r="D406" s="6"/>
      <c r="E406" s="6"/>
      <c r="F406" s="6"/>
      <c r="G406" s="6"/>
      <c r="H406" s="6"/>
      <c r="I406" s="6"/>
      <c r="J406" s="6"/>
      <c r="K406" s="6"/>
    </row>
    <row r="407" spans="1:11" x14ac:dyDescent="0.25">
      <c r="A407" s="6"/>
      <c r="B407" s="6"/>
      <c r="C407" s="6"/>
      <c r="D407" s="6"/>
      <c r="E407" s="6"/>
      <c r="F407" s="6"/>
      <c r="G407" s="6"/>
      <c r="H407" s="6"/>
      <c r="I407" s="6"/>
      <c r="J407" s="6"/>
      <c r="K407" s="6"/>
    </row>
    <row r="408" spans="1:11" x14ac:dyDescent="0.25">
      <c r="A408" s="6"/>
      <c r="B408" s="6"/>
      <c r="C408" s="6"/>
      <c r="D408" s="6"/>
      <c r="E408" s="6"/>
      <c r="F408" s="6"/>
      <c r="G408" s="6"/>
      <c r="H408" s="6"/>
      <c r="I408" s="6"/>
      <c r="J408" s="6"/>
      <c r="K408" s="6"/>
    </row>
    <row r="409" spans="1:11" x14ac:dyDescent="0.25">
      <c r="A409" s="6"/>
      <c r="B409" s="6"/>
      <c r="C409" s="6"/>
      <c r="D409" s="6"/>
      <c r="E409" s="6"/>
      <c r="F409" s="6"/>
      <c r="G409" s="6"/>
      <c r="H409" s="6"/>
      <c r="I409" s="6"/>
      <c r="J409" s="6"/>
      <c r="K409" s="6"/>
    </row>
    <row r="410" spans="1:11" x14ac:dyDescent="0.25">
      <c r="A410" s="6"/>
      <c r="B410" s="6"/>
      <c r="C410" s="6"/>
      <c r="D410" s="6"/>
      <c r="E410" s="6"/>
      <c r="F410" s="6"/>
      <c r="G410" s="6"/>
      <c r="H410" s="6"/>
      <c r="I410" s="6"/>
      <c r="J410" s="6"/>
      <c r="K410" s="6"/>
    </row>
    <row r="411" spans="1:11" x14ac:dyDescent="0.25">
      <c r="A411" s="6"/>
      <c r="B411" s="6"/>
      <c r="C411" s="6"/>
      <c r="D411" s="6"/>
      <c r="E411" s="6"/>
      <c r="F411" s="6"/>
      <c r="G411" s="6"/>
      <c r="H411" s="6"/>
      <c r="I411" s="6"/>
      <c r="J411" s="6"/>
      <c r="K411" s="6"/>
    </row>
    <row r="412" spans="1:11" x14ac:dyDescent="0.25">
      <c r="A412" s="6"/>
      <c r="B412" s="6"/>
      <c r="C412" s="6"/>
      <c r="D412" s="6"/>
      <c r="E412" s="6"/>
      <c r="F412" s="6"/>
      <c r="G412" s="6"/>
      <c r="H412" s="6"/>
      <c r="I412" s="6"/>
      <c r="J412" s="6"/>
      <c r="K412" s="6"/>
    </row>
    <row r="413" spans="1:11" x14ac:dyDescent="0.25">
      <c r="A413" s="6"/>
      <c r="B413" s="6"/>
      <c r="C413" s="6"/>
      <c r="D413" s="6"/>
      <c r="E413" s="6"/>
      <c r="F413" s="6"/>
      <c r="G413" s="6"/>
      <c r="H413" s="6"/>
      <c r="I413" s="6"/>
      <c r="J413" s="6"/>
      <c r="K413" s="6"/>
    </row>
    <row r="414" spans="1:11" x14ac:dyDescent="0.25">
      <c r="A414" s="6"/>
      <c r="B414" s="6"/>
      <c r="C414" s="6"/>
      <c r="D414" s="6"/>
      <c r="E414" s="6"/>
      <c r="F414" s="6"/>
      <c r="G414" s="6"/>
      <c r="H414" s="6"/>
      <c r="I414" s="6"/>
      <c r="J414" s="6"/>
      <c r="K414" s="6"/>
    </row>
    <row r="415" spans="1:11" x14ac:dyDescent="0.25">
      <c r="A415" s="6"/>
      <c r="B415" s="6"/>
      <c r="C415" s="6"/>
      <c r="D415" s="6"/>
      <c r="E415" s="6"/>
      <c r="F415" s="6"/>
      <c r="G415" s="6"/>
      <c r="H415" s="6"/>
      <c r="I415" s="6"/>
      <c r="J415" s="6"/>
      <c r="K415" s="6"/>
    </row>
    <row r="416" spans="1:11" x14ac:dyDescent="0.25">
      <c r="A416" s="6"/>
      <c r="B416" s="6"/>
      <c r="C416" s="6"/>
      <c r="D416" s="6"/>
      <c r="E416" s="6"/>
      <c r="F416" s="6"/>
      <c r="G416" s="6"/>
      <c r="H416" s="6"/>
      <c r="I416" s="6"/>
      <c r="J416" s="6"/>
      <c r="K416" s="6"/>
    </row>
    <row r="417" spans="1:11" x14ac:dyDescent="0.25">
      <c r="A417" s="6"/>
      <c r="B417" s="6"/>
      <c r="C417" s="6"/>
      <c r="D417" s="6"/>
      <c r="E417" s="6"/>
      <c r="F417" s="6"/>
      <c r="G417" s="6"/>
      <c r="H417" s="6"/>
      <c r="I417" s="6"/>
      <c r="J417" s="6"/>
      <c r="K417" s="6"/>
    </row>
    <row r="418" spans="1:11" x14ac:dyDescent="0.25">
      <c r="A418" s="6"/>
      <c r="B418" s="6"/>
      <c r="C418" s="6"/>
      <c r="D418" s="6"/>
      <c r="E418" s="6"/>
      <c r="F418" s="6"/>
      <c r="G418" s="6"/>
      <c r="H418" s="6"/>
      <c r="I418" s="6"/>
      <c r="J418" s="6"/>
      <c r="K418" s="6"/>
    </row>
    <row r="419" spans="1:11" x14ac:dyDescent="0.25">
      <c r="A419" s="6"/>
      <c r="B419" s="6"/>
      <c r="C419" s="6"/>
      <c r="D419" s="6"/>
      <c r="E419" s="6"/>
      <c r="F419" s="6"/>
      <c r="G419" s="6"/>
      <c r="H419" s="6"/>
      <c r="I419" s="6"/>
      <c r="J419" s="6"/>
      <c r="K419" s="6"/>
    </row>
    <row r="420" spans="1:11" x14ac:dyDescent="0.25">
      <c r="A420" s="6"/>
      <c r="B420" s="6"/>
      <c r="C420" s="6"/>
      <c r="D420" s="6"/>
      <c r="E420" s="6"/>
      <c r="F420" s="6"/>
      <c r="G420" s="6"/>
      <c r="H420" s="6"/>
      <c r="I420" s="6"/>
      <c r="J420" s="6"/>
      <c r="K420" s="6"/>
    </row>
    <row r="421" spans="1:11" x14ac:dyDescent="0.25">
      <c r="A421" s="6"/>
      <c r="B421" s="6"/>
      <c r="C421" s="6"/>
      <c r="D421" s="6"/>
      <c r="E421" s="6"/>
      <c r="F421" s="6"/>
      <c r="G421" s="6"/>
      <c r="H421" s="6"/>
      <c r="I421" s="6"/>
      <c r="J421" s="6"/>
      <c r="K421" s="6"/>
    </row>
    <row r="422" spans="1:11" x14ac:dyDescent="0.25">
      <c r="A422" s="6"/>
      <c r="B422" s="6"/>
      <c r="C422" s="6"/>
      <c r="D422" s="6"/>
      <c r="E422" s="6"/>
      <c r="F422" s="6"/>
      <c r="G422" s="6"/>
      <c r="H422" s="6"/>
      <c r="I422" s="6"/>
      <c r="J422" s="6"/>
      <c r="K422" s="6"/>
    </row>
    <row r="423" spans="1:11" x14ac:dyDescent="0.25">
      <c r="A423" s="6"/>
      <c r="B423" s="6"/>
      <c r="C423" s="6"/>
      <c r="D423" s="6"/>
      <c r="E423" s="6"/>
      <c r="F423" s="6"/>
      <c r="G423" s="6"/>
      <c r="H423" s="6"/>
      <c r="I423" s="6"/>
      <c r="J423" s="6"/>
      <c r="K423" s="6"/>
    </row>
    <row r="424" spans="1:11" x14ac:dyDescent="0.25">
      <c r="A424" s="6"/>
      <c r="B424" s="6"/>
      <c r="C424" s="6"/>
      <c r="D424" s="6"/>
      <c r="E424" s="6"/>
      <c r="F424" s="6"/>
      <c r="G424" s="6"/>
      <c r="H424" s="6"/>
      <c r="I424" s="6"/>
      <c r="J424" s="6"/>
      <c r="K424" s="6"/>
    </row>
    <row r="425" spans="1:11" x14ac:dyDescent="0.25">
      <c r="A425" s="6"/>
      <c r="B425" s="6"/>
      <c r="C425" s="6"/>
      <c r="D425" s="6"/>
      <c r="E425" s="6"/>
      <c r="F425" s="6"/>
      <c r="G425" s="6"/>
      <c r="H425" s="6"/>
      <c r="I425" s="6"/>
      <c r="J425" s="6"/>
      <c r="K425" s="6"/>
    </row>
    <row r="426" spans="1:11" x14ac:dyDescent="0.25">
      <c r="A426" s="6"/>
      <c r="B426" s="6"/>
      <c r="C426" s="6"/>
      <c r="D426" s="6"/>
      <c r="E426" s="6"/>
      <c r="F426" s="6"/>
      <c r="G426" s="6"/>
      <c r="H426" s="6"/>
      <c r="I426" s="6"/>
      <c r="J426" s="6"/>
      <c r="K426" s="6"/>
    </row>
    <row r="427" spans="1:11" x14ac:dyDescent="0.25">
      <c r="A427" s="6"/>
      <c r="B427" s="6"/>
      <c r="C427" s="6"/>
      <c r="D427" s="6"/>
      <c r="E427" s="6"/>
      <c r="F427" s="6"/>
      <c r="G427" s="6"/>
      <c r="H427" s="6"/>
      <c r="I427" s="6"/>
      <c r="J427" s="6"/>
      <c r="K427" s="6"/>
    </row>
    <row r="428" spans="1:11" x14ac:dyDescent="0.25">
      <c r="A428" s="6"/>
      <c r="B428" s="6"/>
      <c r="C428" s="6"/>
      <c r="D428" s="6"/>
      <c r="E428" s="6"/>
      <c r="F428" s="6"/>
      <c r="G428" s="6"/>
      <c r="H428" s="6"/>
      <c r="I428" s="6"/>
      <c r="J428" s="6"/>
      <c r="K428" s="6"/>
    </row>
    <row r="429" spans="1:11" x14ac:dyDescent="0.25">
      <c r="A429" s="6"/>
      <c r="B429" s="6"/>
      <c r="C429" s="6"/>
      <c r="D429" s="6"/>
      <c r="E429" s="6"/>
      <c r="F429" s="6"/>
      <c r="G429" s="6"/>
      <c r="H429" s="6"/>
      <c r="I429" s="6"/>
      <c r="J429" s="6"/>
      <c r="K429" s="6"/>
    </row>
    <row r="430" spans="1:11" x14ac:dyDescent="0.25">
      <c r="A430" s="6"/>
      <c r="B430" s="6"/>
      <c r="C430" s="6"/>
      <c r="D430" s="6"/>
      <c r="E430" s="6"/>
      <c r="F430" s="6"/>
      <c r="G430" s="6"/>
      <c r="H430" s="6"/>
      <c r="I430" s="6"/>
      <c r="J430" s="6"/>
      <c r="K430" s="6"/>
    </row>
    <row r="431" spans="1:11" x14ac:dyDescent="0.25">
      <c r="A431" s="6"/>
      <c r="B431" s="6"/>
      <c r="C431" s="6"/>
      <c r="D431" s="6"/>
      <c r="E431" s="6"/>
      <c r="F431" s="6"/>
      <c r="G431" s="6"/>
      <c r="H431" s="6"/>
      <c r="I431" s="6"/>
      <c r="J431" s="6"/>
      <c r="K431" s="6"/>
    </row>
    <row r="432" spans="1:11" x14ac:dyDescent="0.25">
      <c r="A432" s="6"/>
      <c r="B432" s="6"/>
      <c r="C432" s="6"/>
      <c r="D432" s="6"/>
      <c r="E432" s="6"/>
      <c r="F432" s="6"/>
      <c r="G432" s="6"/>
      <c r="H432" s="6"/>
      <c r="I432" s="6"/>
      <c r="J432" s="6"/>
      <c r="K432" s="6"/>
    </row>
    <row r="433" spans="1:11" x14ac:dyDescent="0.25">
      <c r="A433" s="6"/>
      <c r="B433" s="6"/>
      <c r="C433" s="6"/>
      <c r="D433" s="6"/>
      <c r="E433" s="6"/>
      <c r="F433" s="6"/>
      <c r="G433" s="6"/>
      <c r="H433" s="6"/>
      <c r="I433" s="6"/>
      <c r="J433" s="6"/>
      <c r="K433" s="6"/>
    </row>
    <row r="434" spans="1:11" x14ac:dyDescent="0.25">
      <c r="A434" s="6"/>
      <c r="B434" s="6"/>
      <c r="C434" s="6"/>
      <c r="D434" s="6"/>
      <c r="E434" s="6"/>
      <c r="F434" s="6"/>
      <c r="G434" s="6"/>
      <c r="H434" s="6"/>
      <c r="I434" s="6"/>
      <c r="J434" s="6"/>
      <c r="K434" s="6"/>
    </row>
    <row r="435" spans="1:11" x14ac:dyDescent="0.25">
      <c r="A435" s="6"/>
      <c r="B435" s="6"/>
      <c r="C435" s="6"/>
      <c r="D435" s="6"/>
      <c r="E435" s="6"/>
      <c r="F435" s="6"/>
      <c r="G435" s="6"/>
      <c r="H435" s="6"/>
      <c r="I435" s="6"/>
      <c r="J435" s="6"/>
      <c r="K435" s="6"/>
    </row>
    <row r="436" spans="1:11" x14ac:dyDescent="0.25">
      <c r="A436" s="6"/>
      <c r="B436" s="6"/>
      <c r="C436" s="6"/>
      <c r="D436" s="6"/>
      <c r="E436" s="6"/>
      <c r="F436" s="6"/>
      <c r="G436" s="6"/>
      <c r="H436" s="6"/>
      <c r="I436" s="6"/>
      <c r="J436" s="6"/>
      <c r="K436" s="6"/>
    </row>
    <row r="437" spans="1:11" x14ac:dyDescent="0.25">
      <c r="A437" s="6"/>
      <c r="B437" s="6"/>
      <c r="C437" s="6"/>
      <c r="D437" s="6"/>
      <c r="E437" s="6"/>
      <c r="F437" s="6"/>
      <c r="G437" s="6"/>
      <c r="H437" s="6"/>
      <c r="I437" s="6"/>
      <c r="J437" s="6"/>
      <c r="K437" s="6"/>
    </row>
    <row r="438" spans="1:11" x14ac:dyDescent="0.25">
      <c r="A438" s="6"/>
      <c r="B438" s="6"/>
      <c r="C438" s="6"/>
      <c r="D438" s="6"/>
      <c r="E438" s="6"/>
      <c r="F438" s="6"/>
      <c r="G438" s="6"/>
      <c r="H438" s="6"/>
      <c r="I438" s="6"/>
      <c r="J438" s="6"/>
      <c r="K438" s="6"/>
    </row>
    <row r="439" spans="1:11" x14ac:dyDescent="0.25">
      <c r="A439" s="6"/>
      <c r="B439" s="6"/>
      <c r="C439" s="6"/>
      <c r="D439" s="6"/>
      <c r="E439" s="6"/>
      <c r="F439" s="6"/>
      <c r="G439" s="6"/>
      <c r="H439" s="6"/>
      <c r="I439" s="6"/>
      <c r="J439" s="6"/>
      <c r="K439" s="6"/>
    </row>
    <row r="440" spans="1:11" x14ac:dyDescent="0.25">
      <c r="A440" s="6"/>
      <c r="B440" s="6"/>
      <c r="C440" s="6"/>
      <c r="D440" s="6"/>
      <c r="E440" s="6"/>
      <c r="F440" s="6"/>
      <c r="G440" s="6"/>
      <c r="H440" s="6"/>
      <c r="I440" s="6"/>
      <c r="J440" s="6"/>
      <c r="K440" s="6"/>
    </row>
    <row r="441" spans="1:11" x14ac:dyDescent="0.25">
      <c r="A441" s="6"/>
      <c r="B441" s="6"/>
      <c r="C441" s="6"/>
      <c r="D441" s="6"/>
      <c r="E441" s="6"/>
      <c r="F441" s="6"/>
      <c r="G441" s="6"/>
      <c r="H441" s="6"/>
      <c r="I441" s="6"/>
      <c r="J441" s="6"/>
      <c r="K441" s="6"/>
    </row>
    <row r="442" spans="1:11" x14ac:dyDescent="0.25">
      <c r="A442" s="6"/>
      <c r="B442" s="6"/>
      <c r="C442" s="6"/>
      <c r="D442" s="6"/>
      <c r="E442" s="6"/>
      <c r="F442" s="6"/>
      <c r="G442" s="6"/>
      <c r="H442" s="6"/>
      <c r="I442" s="6"/>
      <c r="J442" s="6"/>
      <c r="K442" s="6"/>
    </row>
    <row r="443" spans="1:11" x14ac:dyDescent="0.25">
      <c r="A443" s="6"/>
      <c r="B443" s="6"/>
      <c r="C443" s="6"/>
      <c r="D443" s="6"/>
      <c r="E443" s="6"/>
      <c r="F443" s="6"/>
      <c r="G443" s="6"/>
      <c r="H443" s="6"/>
      <c r="I443" s="6"/>
      <c r="J443" s="6"/>
      <c r="K443" s="6"/>
    </row>
    <row r="444" spans="1:11" x14ac:dyDescent="0.25">
      <c r="A444" s="6"/>
      <c r="B444" s="6"/>
      <c r="C444" s="6"/>
      <c r="D444" s="6"/>
      <c r="E444" s="6"/>
      <c r="F444" s="6"/>
      <c r="G444" s="6"/>
      <c r="H444" s="6"/>
      <c r="I444" s="6"/>
      <c r="J444" s="6"/>
      <c r="K444" s="6"/>
    </row>
    <row r="445" spans="1:11" x14ac:dyDescent="0.25">
      <c r="A445" s="6"/>
      <c r="B445" s="6"/>
      <c r="C445" s="6"/>
      <c r="D445" s="6"/>
      <c r="E445" s="6"/>
      <c r="F445" s="6"/>
      <c r="G445" s="6"/>
      <c r="H445" s="6"/>
      <c r="I445" s="6"/>
      <c r="J445" s="6"/>
      <c r="K445" s="6"/>
    </row>
    <row r="446" spans="1:11" x14ac:dyDescent="0.25">
      <c r="A446" s="6"/>
      <c r="B446" s="6"/>
      <c r="C446" s="6"/>
      <c r="D446" s="6"/>
      <c r="E446" s="6"/>
      <c r="F446" s="6"/>
      <c r="G446" s="6"/>
      <c r="H446" s="6"/>
      <c r="I446" s="6"/>
      <c r="J446" s="6"/>
      <c r="K446" s="6"/>
    </row>
    <row r="447" spans="1:11" x14ac:dyDescent="0.25">
      <c r="A447" s="6"/>
      <c r="B447" s="6"/>
      <c r="C447" s="6"/>
      <c r="D447" s="6"/>
      <c r="E447" s="6"/>
      <c r="F447" s="6"/>
      <c r="G447" s="6"/>
      <c r="H447" s="6"/>
      <c r="I447" s="6"/>
      <c r="J447" s="6"/>
      <c r="K447" s="6"/>
    </row>
    <row r="448" spans="1:11" x14ac:dyDescent="0.25">
      <c r="A448" s="6"/>
      <c r="B448" s="6"/>
      <c r="C448" s="6"/>
      <c r="D448" s="6"/>
      <c r="E448" s="6"/>
      <c r="F448" s="6"/>
      <c r="G448" s="6"/>
      <c r="H448" s="6"/>
      <c r="I448" s="6"/>
      <c r="J448" s="6"/>
      <c r="K448" s="6"/>
    </row>
    <row r="449" spans="1:11" x14ac:dyDescent="0.25">
      <c r="A449" s="6"/>
      <c r="B449" s="6"/>
      <c r="C449" s="6"/>
      <c r="D449" s="6"/>
      <c r="E449" s="6"/>
      <c r="F449" s="6"/>
      <c r="G449" s="6"/>
      <c r="H449" s="6"/>
      <c r="I449" s="6"/>
      <c r="J449" s="6"/>
      <c r="K449" s="6"/>
    </row>
    <row r="450" spans="1:11" x14ac:dyDescent="0.25">
      <c r="A450" s="6"/>
      <c r="B450" s="6"/>
      <c r="C450" s="6"/>
      <c r="D450" s="6"/>
      <c r="E450" s="6"/>
      <c r="F450" s="6"/>
      <c r="G450" s="6"/>
      <c r="H450" s="6"/>
      <c r="I450" s="6"/>
      <c r="J450" s="6"/>
      <c r="K450" s="6"/>
    </row>
    <row r="451" spans="1:11" x14ac:dyDescent="0.25">
      <c r="A451" s="6"/>
      <c r="B451" s="6"/>
      <c r="C451" s="6"/>
      <c r="D451" s="6"/>
      <c r="E451" s="6"/>
      <c r="F451" s="6"/>
      <c r="G451" s="6"/>
      <c r="H451" s="6"/>
      <c r="I451" s="6"/>
      <c r="J451" s="6"/>
      <c r="K451" s="6"/>
    </row>
    <row r="452" spans="1:11" x14ac:dyDescent="0.25">
      <c r="A452" s="6"/>
      <c r="B452" s="6"/>
      <c r="C452" s="6"/>
      <c r="D452" s="6"/>
      <c r="E452" s="6"/>
      <c r="F452" s="6"/>
      <c r="G452" s="6"/>
      <c r="H452" s="6"/>
      <c r="I452" s="6"/>
      <c r="J452" s="6"/>
      <c r="K452" s="6"/>
    </row>
    <row r="453" spans="1:11" x14ac:dyDescent="0.25">
      <c r="A453" s="6"/>
      <c r="B453" s="6"/>
      <c r="C453" s="6"/>
      <c r="D453" s="6"/>
      <c r="E453" s="6"/>
      <c r="F453" s="6"/>
      <c r="G453" s="6"/>
      <c r="H453" s="6"/>
      <c r="I453" s="6"/>
      <c r="J453" s="6"/>
      <c r="K453" s="6"/>
    </row>
    <row r="454" spans="1:11" x14ac:dyDescent="0.25">
      <c r="A454" s="6"/>
      <c r="B454" s="6"/>
      <c r="C454" s="6"/>
      <c r="D454" s="6"/>
      <c r="E454" s="6"/>
      <c r="F454" s="6"/>
      <c r="G454" s="6"/>
      <c r="H454" s="6"/>
      <c r="I454" s="6"/>
      <c r="J454" s="6"/>
      <c r="K454" s="6"/>
    </row>
    <row r="455" spans="1:11" x14ac:dyDescent="0.25">
      <c r="A455" s="6"/>
      <c r="B455" s="6"/>
      <c r="C455" s="6"/>
      <c r="D455" s="6"/>
      <c r="E455" s="6"/>
      <c r="F455" s="6"/>
      <c r="G455" s="6"/>
      <c r="H455" s="6"/>
      <c r="I455" s="6"/>
      <c r="J455" s="6"/>
      <c r="K455" s="6"/>
    </row>
    <row r="456" spans="1:11" x14ac:dyDescent="0.25">
      <c r="A456" s="6"/>
      <c r="B456" s="6"/>
      <c r="C456" s="6"/>
      <c r="D456" s="6"/>
      <c r="E456" s="6"/>
      <c r="F456" s="6"/>
      <c r="G456" s="6"/>
      <c r="H456" s="6"/>
      <c r="I456" s="6"/>
      <c r="J456" s="6"/>
      <c r="K456" s="6"/>
    </row>
    <row r="457" spans="1:11" x14ac:dyDescent="0.25">
      <c r="A457" s="6"/>
      <c r="B457" s="6"/>
      <c r="C457" s="6"/>
      <c r="D457" s="6"/>
      <c r="E457" s="6"/>
      <c r="F457" s="6"/>
      <c r="G457" s="6"/>
      <c r="H457" s="6"/>
      <c r="I457" s="6"/>
      <c r="J457" s="6"/>
      <c r="K457" s="6"/>
    </row>
    <row r="458" spans="1:11" x14ac:dyDescent="0.25">
      <c r="A458" s="6"/>
      <c r="B458" s="6"/>
      <c r="C458" s="6"/>
      <c r="D458" s="6"/>
      <c r="E458" s="6"/>
      <c r="F458" s="6"/>
      <c r="G458" s="6"/>
      <c r="H458" s="6"/>
      <c r="I458" s="6"/>
      <c r="J458" s="6"/>
      <c r="K458" s="6"/>
    </row>
    <row r="459" spans="1:11" x14ac:dyDescent="0.25">
      <c r="A459" s="6"/>
      <c r="B459" s="6"/>
      <c r="C459" s="6"/>
      <c r="D459" s="6"/>
      <c r="E459" s="6"/>
      <c r="F459" s="6"/>
      <c r="G459" s="6"/>
      <c r="H459" s="6"/>
      <c r="I459" s="6"/>
      <c r="J459" s="6"/>
      <c r="K459" s="6"/>
    </row>
    <row r="460" spans="1:11" x14ac:dyDescent="0.25">
      <c r="A460" s="6"/>
      <c r="B460" s="6"/>
      <c r="C460" s="6"/>
      <c r="D460" s="6"/>
      <c r="E460" s="6"/>
      <c r="F460" s="6"/>
      <c r="G460" s="6"/>
      <c r="H460" s="6"/>
      <c r="I460" s="6"/>
      <c r="J460" s="6"/>
      <c r="K460" s="6"/>
    </row>
    <row r="461" spans="1:11" x14ac:dyDescent="0.25">
      <c r="A461" s="6"/>
      <c r="B461" s="6"/>
      <c r="C461" s="6"/>
      <c r="D461" s="6"/>
      <c r="E461" s="6"/>
      <c r="F461" s="6"/>
      <c r="G461" s="6"/>
      <c r="H461" s="6"/>
      <c r="I461" s="6"/>
      <c r="J461" s="6"/>
      <c r="K461" s="6"/>
    </row>
    <row r="462" spans="1:11" x14ac:dyDescent="0.25">
      <c r="A462" s="6"/>
      <c r="B462" s="6"/>
      <c r="C462" s="6"/>
      <c r="D462" s="6"/>
      <c r="E462" s="6"/>
      <c r="F462" s="6"/>
      <c r="G462" s="6"/>
      <c r="H462" s="6"/>
      <c r="I462" s="6"/>
      <c r="J462" s="6"/>
      <c r="K462" s="6"/>
    </row>
    <row r="463" spans="1:11" x14ac:dyDescent="0.25">
      <c r="A463" s="6"/>
      <c r="B463" s="6"/>
      <c r="C463" s="6"/>
      <c r="D463" s="6"/>
      <c r="E463" s="6"/>
      <c r="F463" s="6"/>
      <c r="G463" s="6"/>
      <c r="H463" s="6"/>
      <c r="I463" s="6"/>
      <c r="J463" s="6"/>
      <c r="K463" s="6"/>
    </row>
    <row r="464" spans="1:11" x14ac:dyDescent="0.25">
      <c r="A464" s="6"/>
      <c r="B464" s="6"/>
      <c r="C464" s="6"/>
      <c r="D464" s="6"/>
      <c r="E464" s="6"/>
      <c r="F464" s="6"/>
      <c r="G464" s="6"/>
      <c r="H464" s="6"/>
      <c r="I464" s="6"/>
      <c r="J464" s="6"/>
      <c r="K464" s="6"/>
    </row>
    <row r="465" spans="1:11" x14ac:dyDescent="0.25">
      <c r="A465" s="6"/>
      <c r="B465" s="6"/>
      <c r="C465" s="6"/>
      <c r="D465" s="6"/>
      <c r="E465" s="6"/>
      <c r="F465" s="6"/>
      <c r="G465" s="6"/>
      <c r="H465" s="6"/>
      <c r="I465" s="6"/>
      <c r="J465" s="6"/>
      <c r="K465" s="6"/>
    </row>
    <row r="466" spans="1:11" x14ac:dyDescent="0.25">
      <c r="A466" s="6"/>
      <c r="B466" s="6"/>
      <c r="C466" s="6"/>
      <c r="D466" s="6"/>
      <c r="E466" s="6"/>
      <c r="F466" s="6"/>
      <c r="G466" s="6"/>
      <c r="H466" s="6"/>
      <c r="I466" s="6"/>
      <c r="J466" s="6"/>
      <c r="K466" s="6"/>
    </row>
    <row r="467" spans="1:11" x14ac:dyDescent="0.25">
      <c r="A467" s="6"/>
      <c r="B467" s="6"/>
      <c r="C467" s="6"/>
      <c r="D467" s="6"/>
      <c r="E467" s="6"/>
      <c r="F467" s="6"/>
      <c r="G467" s="6"/>
      <c r="H467" s="6"/>
      <c r="I467" s="6"/>
      <c r="J467" s="6"/>
      <c r="K467" s="6"/>
    </row>
    <row r="468" spans="1:11" x14ac:dyDescent="0.25">
      <c r="A468" s="6"/>
      <c r="B468" s="6"/>
      <c r="C468" s="6"/>
      <c r="D468" s="6"/>
      <c r="E468" s="6"/>
      <c r="F468" s="6"/>
      <c r="G468" s="6"/>
      <c r="H468" s="6"/>
      <c r="I468" s="6"/>
      <c r="J468" s="6"/>
      <c r="K468" s="6"/>
    </row>
    <row r="469" spans="1:11" x14ac:dyDescent="0.25">
      <c r="A469" s="6"/>
      <c r="B469" s="6"/>
      <c r="C469" s="6"/>
      <c r="D469" s="6"/>
      <c r="E469" s="6"/>
      <c r="F469" s="6"/>
      <c r="G469" s="6"/>
      <c r="H469" s="6"/>
      <c r="I469" s="6"/>
      <c r="J469" s="6"/>
      <c r="K469" s="6"/>
    </row>
    <row r="470" spans="1:11" x14ac:dyDescent="0.25">
      <c r="A470" s="6"/>
      <c r="B470" s="6"/>
      <c r="C470" s="6"/>
      <c r="D470" s="6"/>
      <c r="E470" s="6"/>
      <c r="F470" s="6"/>
      <c r="G470" s="6"/>
      <c r="H470" s="6"/>
      <c r="I470" s="6"/>
      <c r="J470" s="6"/>
      <c r="K470" s="6"/>
    </row>
    <row r="471" spans="1:11" x14ac:dyDescent="0.25">
      <c r="A471" s="6"/>
      <c r="B471" s="6"/>
      <c r="C471" s="6"/>
      <c r="D471" s="6"/>
      <c r="E471" s="6"/>
      <c r="F471" s="6"/>
      <c r="G471" s="6"/>
      <c r="H471" s="6"/>
      <c r="I471" s="6"/>
      <c r="J471" s="6"/>
      <c r="K471" s="6"/>
    </row>
    <row r="472" spans="1:11" x14ac:dyDescent="0.25">
      <c r="A472" s="6"/>
      <c r="B472" s="6"/>
      <c r="C472" s="6"/>
      <c r="D472" s="6"/>
      <c r="E472" s="6"/>
      <c r="F472" s="6"/>
      <c r="G472" s="6"/>
      <c r="H472" s="6"/>
      <c r="I472" s="6"/>
      <c r="J472" s="6"/>
      <c r="K472" s="6"/>
    </row>
    <row r="473" spans="1:11" x14ac:dyDescent="0.25">
      <c r="A473" s="6"/>
      <c r="B473" s="6"/>
      <c r="C473" s="6"/>
      <c r="D473" s="6"/>
      <c r="E473" s="6"/>
      <c r="F473" s="6"/>
      <c r="G473" s="6"/>
      <c r="H473" s="6"/>
      <c r="I473" s="6"/>
      <c r="J473" s="6"/>
      <c r="K473" s="6"/>
    </row>
    <row r="474" spans="1:11" x14ac:dyDescent="0.25">
      <c r="A474" s="6"/>
      <c r="B474" s="6"/>
      <c r="C474" s="6"/>
      <c r="D474" s="6"/>
      <c r="E474" s="6"/>
      <c r="F474" s="6"/>
      <c r="G474" s="6"/>
      <c r="H474" s="6"/>
      <c r="I474" s="6"/>
      <c r="J474" s="6"/>
      <c r="K474" s="6"/>
    </row>
    <row r="475" spans="1:11" x14ac:dyDescent="0.25">
      <c r="A475" s="6"/>
      <c r="B475" s="6"/>
      <c r="C475" s="6"/>
      <c r="D475" s="6"/>
      <c r="E475" s="6"/>
      <c r="F475" s="6"/>
      <c r="G475" s="6"/>
      <c r="H475" s="6"/>
      <c r="I475" s="6"/>
      <c r="J475" s="6"/>
      <c r="K475" s="6"/>
    </row>
    <row r="476" spans="1:11" x14ac:dyDescent="0.25">
      <c r="A476" s="6"/>
      <c r="B476" s="6"/>
      <c r="C476" s="6"/>
      <c r="D476" s="6"/>
      <c r="E476" s="6"/>
      <c r="F476" s="6"/>
      <c r="G476" s="6"/>
      <c r="H476" s="6"/>
      <c r="I476" s="6"/>
      <c r="J476" s="6"/>
      <c r="K476" s="6"/>
    </row>
    <row r="477" spans="1:11" x14ac:dyDescent="0.25">
      <c r="A477" s="6"/>
      <c r="B477" s="6"/>
      <c r="C477" s="6"/>
      <c r="D477" s="6"/>
      <c r="E477" s="6"/>
      <c r="F477" s="6"/>
      <c r="G477" s="6"/>
      <c r="H477" s="6"/>
      <c r="I477" s="6"/>
      <c r="J477" s="6"/>
      <c r="K477" s="6"/>
    </row>
    <row r="478" spans="1:11" x14ac:dyDescent="0.25">
      <c r="A478" s="6"/>
      <c r="B478" s="6"/>
      <c r="C478" s="6"/>
      <c r="D478" s="6"/>
      <c r="E478" s="6"/>
      <c r="F478" s="6"/>
      <c r="G478" s="6"/>
      <c r="H478" s="6"/>
      <c r="I478" s="6"/>
      <c r="J478" s="6"/>
      <c r="K478" s="6"/>
    </row>
    <row r="479" spans="1:11" x14ac:dyDescent="0.25">
      <c r="A479" s="6"/>
      <c r="B479" s="6"/>
      <c r="C479" s="6"/>
      <c r="D479" s="6"/>
      <c r="E479" s="6"/>
      <c r="F479" s="6"/>
      <c r="G479" s="6"/>
      <c r="H479" s="6"/>
      <c r="I479" s="6"/>
      <c r="J479" s="6"/>
      <c r="K479" s="6"/>
    </row>
    <row r="480" spans="1:11" x14ac:dyDescent="0.25">
      <c r="A480" s="6"/>
      <c r="B480" s="6"/>
      <c r="C480" s="6"/>
      <c r="D480" s="6"/>
      <c r="E480" s="6"/>
      <c r="F480" s="6"/>
      <c r="G480" s="6"/>
      <c r="H480" s="6"/>
      <c r="I480" s="6"/>
      <c r="J480" s="6"/>
      <c r="K480" s="6"/>
    </row>
    <row r="481" spans="1:11" x14ac:dyDescent="0.25">
      <c r="A481" s="6"/>
      <c r="B481" s="6"/>
      <c r="C481" s="6"/>
      <c r="D481" s="6"/>
      <c r="E481" s="6"/>
      <c r="F481" s="6"/>
      <c r="G481" s="6"/>
      <c r="H481" s="6"/>
      <c r="I481" s="6"/>
      <c r="J481" s="6"/>
      <c r="K481" s="6"/>
    </row>
    <row r="482" spans="1:11" x14ac:dyDescent="0.25">
      <c r="A482" s="6"/>
      <c r="B482" s="6"/>
      <c r="C482" s="6"/>
      <c r="D482" s="6"/>
      <c r="E482" s="6"/>
      <c r="F482" s="6"/>
      <c r="G482" s="6"/>
      <c r="H482" s="6"/>
      <c r="I482" s="6"/>
      <c r="J482" s="6"/>
      <c r="K482" s="6"/>
    </row>
    <row r="483" spans="1:11" x14ac:dyDescent="0.25">
      <c r="A483" s="6"/>
      <c r="B483" s="6"/>
      <c r="C483" s="6"/>
      <c r="D483" s="6"/>
      <c r="E483" s="6"/>
      <c r="F483" s="6"/>
      <c r="G483" s="6"/>
      <c r="H483" s="6"/>
      <c r="I483" s="6"/>
      <c r="J483" s="6"/>
      <c r="K483" s="6"/>
    </row>
    <row r="484" spans="1:11" x14ac:dyDescent="0.25">
      <c r="A484" s="6"/>
      <c r="B484" s="6"/>
      <c r="C484" s="6"/>
      <c r="D484" s="6"/>
      <c r="E484" s="6"/>
      <c r="F484" s="6"/>
      <c r="G484" s="6"/>
      <c r="H484" s="6"/>
      <c r="I484" s="6"/>
      <c r="J484" s="6"/>
      <c r="K484" s="6"/>
    </row>
    <row r="485" spans="1:11" x14ac:dyDescent="0.25">
      <c r="A485" s="6"/>
      <c r="B485" s="6"/>
      <c r="C485" s="6"/>
      <c r="D485" s="6"/>
      <c r="E485" s="6"/>
      <c r="F485" s="6"/>
      <c r="G485" s="6"/>
      <c r="H485" s="6"/>
      <c r="I485" s="6"/>
      <c r="J485" s="6"/>
      <c r="K485" s="6"/>
    </row>
    <row r="486" spans="1:11" x14ac:dyDescent="0.25">
      <c r="A486" s="6"/>
      <c r="B486" s="6"/>
      <c r="C486" s="6"/>
      <c r="D486" s="6"/>
      <c r="E486" s="6"/>
      <c r="F486" s="6"/>
      <c r="G486" s="6"/>
      <c r="H486" s="6"/>
      <c r="I486" s="6"/>
      <c r="J486" s="6"/>
      <c r="K486" s="6"/>
    </row>
    <row r="487" spans="1:11" x14ac:dyDescent="0.25">
      <c r="A487" s="6"/>
      <c r="B487" s="6"/>
      <c r="C487" s="6"/>
      <c r="D487" s="6"/>
      <c r="E487" s="6"/>
      <c r="F487" s="6"/>
      <c r="G487" s="6"/>
      <c r="H487" s="6"/>
      <c r="I487" s="6"/>
      <c r="J487" s="6"/>
      <c r="K487" s="6"/>
    </row>
    <row r="488" spans="1:11" x14ac:dyDescent="0.25">
      <c r="A488" s="6"/>
      <c r="B488" s="6"/>
      <c r="C488" s="6"/>
      <c r="D488" s="6"/>
      <c r="E488" s="6"/>
      <c r="F488" s="6"/>
      <c r="G488" s="6"/>
      <c r="H488" s="6"/>
      <c r="I488" s="6"/>
      <c r="J488" s="6"/>
      <c r="K488" s="6"/>
    </row>
    <row r="489" spans="1:11" x14ac:dyDescent="0.25">
      <c r="A489" s="6"/>
      <c r="B489" s="6"/>
      <c r="C489" s="6"/>
      <c r="D489" s="6"/>
      <c r="E489" s="6"/>
      <c r="F489" s="6"/>
      <c r="G489" s="6"/>
      <c r="H489" s="6"/>
      <c r="I489" s="6"/>
      <c r="J489" s="6"/>
      <c r="K489" s="6"/>
    </row>
    <row r="490" spans="1:11" x14ac:dyDescent="0.25">
      <c r="A490" s="6"/>
      <c r="B490" s="6"/>
      <c r="C490" s="6"/>
      <c r="D490" s="6"/>
      <c r="E490" s="6"/>
      <c r="F490" s="6"/>
      <c r="G490" s="6"/>
      <c r="H490" s="6"/>
      <c r="I490" s="6"/>
      <c r="J490" s="6"/>
      <c r="K490" s="6"/>
    </row>
    <row r="491" spans="1:11" x14ac:dyDescent="0.25">
      <c r="A491" s="6"/>
      <c r="B491" s="6"/>
      <c r="C491" s="6"/>
      <c r="D491" s="6"/>
      <c r="E491" s="6"/>
      <c r="F491" s="6"/>
      <c r="G491" s="6"/>
      <c r="H491" s="6"/>
      <c r="I491" s="6"/>
      <c r="J491" s="6"/>
      <c r="K491" s="6"/>
    </row>
    <row r="492" spans="1:11" x14ac:dyDescent="0.25">
      <c r="A492" s="6"/>
      <c r="B492" s="6"/>
      <c r="C492" s="6"/>
      <c r="D492" s="6"/>
      <c r="E492" s="6"/>
      <c r="F492" s="6"/>
      <c r="G492" s="6"/>
      <c r="H492" s="6"/>
      <c r="I492" s="6"/>
      <c r="J492" s="6"/>
      <c r="K492" s="6"/>
    </row>
    <row r="493" spans="1:11" x14ac:dyDescent="0.25">
      <c r="A493" s="6"/>
      <c r="B493" s="6"/>
      <c r="C493" s="6"/>
      <c r="D493" s="6"/>
      <c r="E493" s="6"/>
      <c r="F493" s="6"/>
      <c r="G493" s="6"/>
      <c r="H493" s="6"/>
      <c r="I493" s="6"/>
      <c r="J493" s="6"/>
      <c r="K493" s="6"/>
    </row>
    <row r="494" spans="1:11" x14ac:dyDescent="0.25">
      <c r="A494" s="6"/>
      <c r="B494" s="6"/>
      <c r="C494" s="6"/>
      <c r="D494" s="6"/>
      <c r="E494" s="6"/>
      <c r="F494" s="6"/>
      <c r="G494" s="6"/>
      <c r="H494" s="6"/>
      <c r="I494" s="6"/>
      <c r="J494" s="6"/>
      <c r="K494" s="6"/>
    </row>
    <row r="495" spans="1:11" x14ac:dyDescent="0.25">
      <c r="A495" s="6"/>
      <c r="B495" s="6"/>
      <c r="C495" s="6"/>
      <c r="D495" s="6"/>
      <c r="E495" s="6"/>
      <c r="F495" s="6"/>
      <c r="G495" s="6"/>
      <c r="H495" s="6"/>
      <c r="I495" s="6"/>
      <c r="J495" s="6"/>
      <c r="K495" s="6"/>
    </row>
    <row r="496" spans="1:11" x14ac:dyDescent="0.25">
      <c r="A496" s="6"/>
      <c r="B496" s="6"/>
      <c r="C496" s="6"/>
      <c r="D496" s="6"/>
      <c r="E496" s="6"/>
      <c r="F496" s="6"/>
      <c r="G496" s="6"/>
      <c r="H496" s="6"/>
      <c r="I496" s="6"/>
      <c r="J496" s="6"/>
      <c r="K496" s="6"/>
    </row>
    <row r="497" spans="1:11" x14ac:dyDescent="0.25">
      <c r="A497" s="6"/>
      <c r="B497" s="6"/>
      <c r="C497" s="6"/>
      <c r="D497" s="6"/>
      <c r="E497" s="6"/>
      <c r="F497" s="6"/>
      <c r="G497" s="6"/>
      <c r="H497" s="6"/>
      <c r="I497" s="6"/>
      <c r="J497" s="6"/>
      <c r="K497" s="6"/>
    </row>
    <row r="498" spans="1:11" x14ac:dyDescent="0.25">
      <c r="A498" s="6"/>
      <c r="B498" s="6"/>
      <c r="C498" s="6"/>
      <c r="D498" s="6"/>
      <c r="E498" s="6"/>
      <c r="F498" s="6"/>
      <c r="G498" s="6"/>
      <c r="H498" s="6"/>
      <c r="I498" s="6"/>
      <c r="J498" s="6"/>
      <c r="K498" s="6"/>
    </row>
    <row r="499" spans="1:11" x14ac:dyDescent="0.25">
      <c r="A499" s="6"/>
      <c r="B499" s="6"/>
      <c r="C499" s="6"/>
      <c r="D499" s="6"/>
      <c r="E499" s="6"/>
      <c r="F499" s="6"/>
      <c r="G499" s="6"/>
      <c r="H499" s="6"/>
      <c r="I499" s="6"/>
      <c r="J499" s="6"/>
      <c r="K499" s="6"/>
    </row>
    <row r="500" spans="1:11" x14ac:dyDescent="0.25">
      <c r="A500" s="6"/>
      <c r="B500" s="6"/>
      <c r="C500" s="6"/>
      <c r="D500" s="6"/>
      <c r="E500" s="6"/>
      <c r="F500" s="6"/>
      <c r="G500" s="6"/>
      <c r="H500" s="6"/>
      <c r="I500" s="6"/>
      <c r="J500" s="6"/>
      <c r="K500" s="6"/>
    </row>
    <row r="501" spans="1:11" x14ac:dyDescent="0.25">
      <c r="A501" s="6"/>
      <c r="B501" s="6"/>
      <c r="C501" s="6"/>
      <c r="D501" s="6"/>
      <c r="E501" s="6"/>
      <c r="F501" s="6"/>
      <c r="G501" s="6"/>
      <c r="H501" s="6"/>
      <c r="I501" s="6"/>
      <c r="J501" s="6"/>
      <c r="K501" s="6"/>
    </row>
    <row r="502" spans="1:11" x14ac:dyDescent="0.25">
      <c r="A502" s="6"/>
      <c r="B502" s="6"/>
      <c r="C502" s="6"/>
      <c r="D502" s="6"/>
      <c r="E502" s="6"/>
      <c r="F502" s="6"/>
      <c r="G502" s="6"/>
      <c r="H502" s="6"/>
      <c r="I502" s="6"/>
      <c r="J502" s="6"/>
      <c r="K502" s="6"/>
    </row>
    <row r="503" spans="1:11" x14ac:dyDescent="0.25">
      <c r="A503" s="6"/>
      <c r="B503" s="6"/>
      <c r="C503" s="6"/>
      <c r="D503" s="6"/>
      <c r="E503" s="6"/>
      <c r="F503" s="6"/>
      <c r="G503" s="6"/>
      <c r="H503" s="6"/>
      <c r="I503" s="6"/>
      <c r="J503" s="6"/>
      <c r="K503" s="6"/>
    </row>
    <row r="504" spans="1:11" x14ac:dyDescent="0.25">
      <c r="A504" s="6"/>
      <c r="B504" s="6"/>
      <c r="C504" s="6"/>
      <c r="D504" s="6"/>
      <c r="E504" s="6"/>
      <c r="F504" s="6"/>
      <c r="G504" s="6"/>
      <c r="H504" s="6"/>
      <c r="I504" s="6"/>
      <c r="J504" s="6"/>
      <c r="K504" s="6"/>
    </row>
    <row r="505" spans="1:11" x14ac:dyDescent="0.25">
      <c r="A505" s="6"/>
      <c r="B505" s="6"/>
      <c r="C505" s="6"/>
      <c r="D505" s="6"/>
      <c r="E505" s="6"/>
      <c r="F505" s="6"/>
      <c r="G505" s="6"/>
      <c r="H505" s="6"/>
      <c r="I505" s="6"/>
      <c r="J505" s="6"/>
      <c r="K505" s="6"/>
    </row>
    <row r="506" spans="1:11" x14ac:dyDescent="0.25">
      <c r="A506" s="6"/>
      <c r="B506" s="6"/>
      <c r="C506" s="6"/>
      <c r="D506" s="6"/>
      <c r="E506" s="6"/>
      <c r="F506" s="6"/>
      <c r="G506" s="6"/>
      <c r="H506" s="6"/>
      <c r="I506" s="6"/>
      <c r="J506" s="6"/>
      <c r="K506" s="6"/>
    </row>
    <row r="507" spans="1:11" x14ac:dyDescent="0.25">
      <c r="A507" s="6"/>
      <c r="B507" s="6"/>
      <c r="C507" s="6"/>
      <c r="D507" s="6"/>
      <c r="E507" s="6"/>
      <c r="F507" s="6"/>
      <c r="G507" s="6"/>
      <c r="H507" s="6"/>
      <c r="I507" s="6"/>
      <c r="J507" s="6"/>
      <c r="K507" s="6"/>
    </row>
    <row r="508" spans="1:11" x14ac:dyDescent="0.25">
      <c r="A508" s="6"/>
      <c r="B508" s="6"/>
      <c r="C508" s="6"/>
      <c r="D508" s="6"/>
      <c r="E508" s="6"/>
      <c r="F508" s="6"/>
      <c r="G508" s="6"/>
      <c r="H508" s="6"/>
      <c r="I508" s="6"/>
      <c r="J508" s="6"/>
      <c r="K508" s="6"/>
    </row>
    <row r="509" spans="1:11" x14ac:dyDescent="0.25">
      <c r="A509" s="6"/>
      <c r="B509" s="6"/>
      <c r="C509" s="6"/>
      <c r="D509" s="6"/>
      <c r="E509" s="6"/>
      <c r="F509" s="6"/>
      <c r="G509" s="6"/>
      <c r="H509" s="6"/>
      <c r="I509" s="6"/>
      <c r="J509" s="6"/>
      <c r="K509" s="6"/>
    </row>
    <row r="510" spans="1:11" x14ac:dyDescent="0.25">
      <c r="A510" s="6"/>
      <c r="B510" s="6"/>
      <c r="C510" s="6"/>
      <c r="D510" s="6"/>
      <c r="E510" s="6"/>
      <c r="F510" s="6"/>
      <c r="G510" s="6"/>
      <c r="H510" s="6"/>
      <c r="I510" s="6"/>
      <c r="J510" s="6"/>
      <c r="K510" s="6"/>
    </row>
    <row r="511" spans="1:11" x14ac:dyDescent="0.25">
      <c r="A511" s="6"/>
      <c r="B511" s="6"/>
      <c r="C511" s="6"/>
      <c r="D511" s="6"/>
      <c r="E511" s="6"/>
      <c r="F511" s="6"/>
      <c r="G511" s="6"/>
      <c r="H511" s="6"/>
      <c r="I511" s="6"/>
      <c r="J511" s="6"/>
      <c r="K511" s="6"/>
    </row>
    <row r="512" spans="1:11" x14ac:dyDescent="0.25">
      <c r="A512" s="6"/>
      <c r="B512" s="6"/>
      <c r="C512" s="6"/>
      <c r="D512" s="6"/>
      <c r="E512" s="6"/>
      <c r="F512" s="6"/>
      <c r="G512" s="6"/>
      <c r="H512" s="6"/>
      <c r="I512" s="6"/>
      <c r="J512" s="6"/>
      <c r="K512" s="6"/>
    </row>
    <row r="513" spans="1:11" x14ac:dyDescent="0.25">
      <c r="A513" s="6"/>
      <c r="B513" s="6"/>
      <c r="C513" s="6"/>
      <c r="D513" s="6"/>
      <c r="E513" s="6"/>
      <c r="F513" s="6"/>
      <c r="G513" s="6"/>
      <c r="H513" s="6"/>
      <c r="I513" s="6"/>
      <c r="J513" s="6"/>
      <c r="K513" s="6"/>
    </row>
    <row r="514" spans="1:11" x14ac:dyDescent="0.25">
      <c r="A514" s="6"/>
      <c r="B514" s="6"/>
      <c r="C514" s="6"/>
      <c r="D514" s="6"/>
      <c r="E514" s="6"/>
      <c r="F514" s="6"/>
      <c r="G514" s="6"/>
      <c r="H514" s="6"/>
      <c r="I514" s="6"/>
      <c r="J514" s="6"/>
      <c r="K514" s="6"/>
    </row>
    <row r="515" spans="1:11" x14ac:dyDescent="0.25">
      <c r="A515" s="6"/>
      <c r="B515" s="6"/>
      <c r="C515" s="6"/>
      <c r="D515" s="6"/>
      <c r="E515" s="6"/>
      <c r="F515" s="6"/>
      <c r="G515" s="6"/>
      <c r="H515" s="6"/>
      <c r="I515" s="6"/>
      <c r="J515" s="6"/>
      <c r="K515" s="6"/>
    </row>
    <row r="516" spans="1:11" x14ac:dyDescent="0.25">
      <c r="A516" s="6"/>
      <c r="B516" s="6"/>
      <c r="C516" s="6"/>
      <c r="D516" s="6"/>
      <c r="E516" s="6"/>
      <c r="F516" s="6"/>
      <c r="G516" s="6"/>
      <c r="H516" s="6"/>
      <c r="I516" s="6"/>
      <c r="J516" s="6"/>
      <c r="K516" s="6"/>
    </row>
    <row r="517" spans="1:11" x14ac:dyDescent="0.25">
      <c r="A517" s="6"/>
      <c r="B517" s="6"/>
      <c r="C517" s="6"/>
      <c r="D517" s="6"/>
      <c r="E517" s="6"/>
      <c r="F517" s="6"/>
      <c r="G517" s="6"/>
      <c r="H517" s="6"/>
      <c r="I517" s="6"/>
      <c r="J517" s="6"/>
      <c r="K517" s="6"/>
    </row>
    <row r="518" spans="1:11" x14ac:dyDescent="0.25">
      <c r="A518" s="6"/>
      <c r="B518" s="6"/>
      <c r="C518" s="6"/>
      <c r="D518" s="6"/>
      <c r="E518" s="6"/>
      <c r="F518" s="6"/>
      <c r="G518" s="6"/>
      <c r="H518" s="6"/>
      <c r="I518" s="6"/>
      <c r="J518" s="6"/>
      <c r="K518" s="6"/>
    </row>
    <row r="519" spans="1:11" x14ac:dyDescent="0.25">
      <c r="A519" s="6"/>
      <c r="B519" s="6"/>
      <c r="C519" s="6"/>
      <c r="D519" s="6"/>
      <c r="E519" s="6"/>
      <c r="F519" s="6"/>
      <c r="G519" s="6"/>
      <c r="H519" s="6"/>
      <c r="I519" s="6"/>
      <c r="J519" s="6"/>
      <c r="K519" s="6"/>
    </row>
    <row r="520" spans="1:11" x14ac:dyDescent="0.25">
      <c r="A520" s="6"/>
      <c r="B520" s="6"/>
      <c r="C520" s="6"/>
      <c r="D520" s="6"/>
      <c r="E520" s="6"/>
      <c r="F520" s="6"/>
      <c r="G520" s="6"/>
      <c r="H520" s="6"/>
      <c r="I520" s="6"/>
      <c r="J520" s="6"/>
      <c r="K520" s="6"/>
    </row>
    <row r="521" spans="1:11" x14ac:dyDescent="0.25">
      <c r="A521" s="6"/>
      <c r="B521" s="6"/>
      <c r="C521" s="6"/>
      <c r="D521" s="6"/>
      <c r="E521" s="6"/>
      <c r="F521" s="6"/>
      <c r="G521" s="6"/>
      <c r="H521" s="6"/>
      <c r="I521" s="6"/>
      <c r="J521" s="6"/>
      <c r="K521" s="6"/>
    </row>
    <row r="522" spans="1:11" x14ac:dyDescent="0.25">
      <c r="A522" s="6"/>
      <c r="B522" s="6"/>
      <c r="C522" s="6"/>
      <c r="D522" s="6"/>
      <c r="E522" s="6"/>
      <c r="F522" s="6"/>
      <c r="G522" s="6"/>
      <c r="H522" s="6"/>
      <c r="I522" s="6"/>
      <c r="J522" s="6"/>
      <c r="K522" s="6"/>
    </row>
    <row r="523" spans="1:11" x14ac:dyDescent="0.25">
      <c r="A523" s="6"/>
      <c r="B523" s="6"/>
      <c r="C523" s="6"/>
      <c r="D523" s="6"/>
      <c r="E523" s="6"/>
      <c r="F523" s="6"/>
      <c r="G523" s="6"/>
      <c r="H523" s="6"/>
      <c r="I523" s="6"/>
      <c r="J523" s="6"/>
      <c r="K523" s="6"/>
    </row>
    <row r="524" spans="1:11" x14ac:dyDescent="0.25">
      <c r="A524" s="6"/>
      <c r="B524" s="6"/>
      <c r="C524" s="6"/>
      <c r="D524" s="6"/>
      <c r="E524" s="6"/>
      <c r="F524" s="6"/>
      <c r="G524" s="6"/>
      <c r="H524" s="6"/>
      <c r="I524" s="6"/>
      <c r="J524" s="6"/>
      <c r="K524" s="6"/>
    </row>
    <row r="525" spans="1:11" x14ac:dyDescent="0.25">
      <c r="A525" s="6"/>
      <c r="B525" s="6"/>
      <c r="C525" s="6"/>
      <c r="D525" s="6"/>
      <c r="E525" s="6"/>
      <c r="F525" s="6"/>
      <c r="G525" s="6"/>
      <c r="H525" s="6"/>
      <c r="I525" s="6"/>
      <c r="J525" s="6"/>
      <c r="K525" s="6"/>
    </row>
    <row r="526" spans="1:11" x14ac:dyDescent="0.25">
      <c r="A526" s="6"/>
      <c r="B526" s="6"/>
      <c r="C526" s="6"/>
      <c r="D526" s="6"/>
      <c r="E526" s="6"/>
      <c r="F526" s="6"/>
      <c r="G526" s="6"/>
      <c r="H526" s="6"/>
      <c r="I526" s="6"/>
      <c r="J526" s="6"/>
      <c r="K526" s="6"/>
    </row>
    <row r="527" spans="1:11" x14ac:dyDescent="0.25">
      <c r="A527" s="6"/>
      <c r="B527" s="6"/>
      <c r="C527" s="6"/>
      <c r="D527" s="6"/>
      <c r="E527" s="6"/>
      <c r="F527" s="6"/>
      <c r="G527" s="6"/>
      <c r="H527" s="6"/>
      <c r="I527" s="6"/>
      <c r="J527" s="6"/>
      <c r="K527" s="6"/>
    </row>
    <row r="528" spans="1:11" x14ac:dyDescent="0.25">
      <c r="A528" s="6"/>
      <c r="B528" s="6"/>
      <c r="C528" s="6"/>
      <c r="D528" s="6"/>
      <c r="E528" s="6"/>
      <c r="F528" s="6"/>
      <c r="G528" s="6"/>
      <c r="H528" s="6"/>
      <c r="I528" s="6"/>
      <c r="J528" s="6"/>
      <c r="K528" s="6"/>
    </row>
    <row r="529" spans="1:11" x14ac:dyDescent="0.25">
      <c r="A529" s="6"/>
      <c r="B529" s="6"/>
      <c r="C529" s="6"/>
      <c r="D529" s="6"/>
      <c r="E529" s="6"/>
      <c r="F529" s="6"/>
      <c r="G529" s="6"/>
      <c r="H529" s="6"/>
      <c r="I529" s="6"/>
      <c r="J529" s="6"/>
      <c r="K529" s="6"/>
    </row>
    <row r="530" spans="1:11" x14ac:dyDescent="0.25">
      <c r="A530" s="6"/>
      <c r="B530" s="6"/>
      <c r="C530" s="6"/>
      <c r="D530" s="6"/>
      <c r="E530" s="6"/>
      <c r="F530" s="6"/>
      <c r="G530" s="6"/>
      <c r="H530" s="6"/>
      <c r="I530" s="6"/>
      <c r="J530" s="6"/>
      <c r="K530" s="6"/>
    </row>
    <row r="531" spans="1:11" x14ac:dyDescent="0.25">
      <c r="A531" s="6"/>
      <c r="B531" s="6"/>
      <c r="C531" s="6"/>
      <c r="D531" s="6"/>
      <c r="E531" s="6"/>
      <c r="F531" s="6"/>
      <c r="G531" s="6"/>
      <c r="H531" s="6"/>
      <c r="I531" s="6"/>
      <c r="J531" s="6"/>
      <c r="K531" s="6"/>
    </row>
    <row r="532" spans="1:11" x14ac:dyDescent="0.25">
      <c r="A532" s="6"/>
      <c r="B532" s="6"/>
      <c r="C532" s="6"/>
      <c r="D532" s="6"/>
      <c r="E532" s="6"/>
      <c r="F532" s="6"/>
      <c r="G532" s="6"/>
      <c r="H532" s="6"/>
      <c r="I532" s="6"/>
      <c r="J532" s="6"/>
      <c r="K532" s="6"/>
    </row>
    <row r="533" spans="1:11" x14ac:dyDescent="0.25">
      <c r="A533" s="6"/>
      <c r="B533" s="6"/>
      <c r="C533" s="6"/>
      <c r="D533" s="6"/>
      <c r="E533" s="6"/>
      <c r="F533" s="6"/>
      <c r="G533" s="6"/>
      <c r="H533" s="6"/>
      <c r="I533" s="6"/>
      <c r="J533" s="6"/>
      <c r="K533" s="6"/>
    </row>
    <row r="534" spans="1:11" x14ac:dyDescent="0.25">
      <c r="A534" s="6"/>
      <c r="B534" s="6"/>
      <c r="C534" s="6"/>
      <c r="D534" s="6"/>
      <c r="E534" s="6"/>
      <c r="F534" s="6"/>
      <c r="G534" s="6"/>
      <c r="H534" s="6"/>
      <c r="I534" s="6"/>
      <c r="J534" s="6"/>
      <c r="K534" s="6"/>
    </row>
    <row r="535" spans="1:11" x14ac:dyDescent="0.25">
      <c r="A535" s="6"/>
      <c r="B535" s="6"/>
      <c r="C535" s="6"/>
      <c r="D535" s="6"/>
      <c r="E535" s="6"/>
      <c r="F535" s="6"/>
      <c r="G535" s="6"/>
      <c r="H535" s="6"/>
      <c r="I535" s="6"/>
      <c r="J535" s="6"/>
      <c r="K535" s="6"/>
    </row>
    <row r="536" spans="1:11" x14ac:dyDescent="0.25">
      <c r="A536" s="6"/>
      <c r="B536" s="6"/>
      <c r="C536" s="6"/>
      <c r="D536" s="6"/>
      <c r="E536" s="6"/>
      <c r="F536" s="6"/>
      <c r="G536" s="6"/>
      <c r="H536" s="6"/>
      <c r="I536" s="6"/>
      <c r="J536" s="6"/>
      <c r="K536" s="6"/>
    </row>
    <row r="537" spans="1:11" x14ac:dyDescent="0.25">
      <c r="A537" s="6"/>
      <c r="B537" s="6"/>
      <c r="C537" s="6"/>
      <c r="D537" s="6"/>
      <c r="E537" s="6"/>
      <c r="F537" s="6"/>
      <c r="G537" s="6"/>
      <c r="H537" s="6"/>
      <c r="I537" s="6"/>
      <c r="J537" s="6"/>
      <c r="K537" s="6"/>
    </row>
    <row r="538" spans="1:11" x14ac:dyDescent="0.25">
      <c r="A538" s="6"/>
      <c r="B538" s="6"/>
      <c r="C538" s="6"/>
      <c r="D538" s="6"/>
      <c r="E538" s="6"/>
      <c r="F538" s="6"/>
      <c r="G538" s="6"/>
      <c r="H538" s="6"/>
      <c r="I538" s="6"/>
      <c r="J538" s="6"/>
      <c r="K538" s="6"/>
    </row>
    <row r="539" spans="1:11" x14ac:dyDescent="0.25">
      <c r="A539" s="6"/>
      <c r="B539" s="6"/>
      <c r="C539" s="6"/>
      <c r="D539" s="6"/>
      <c r="E539" s="6"/>
      <c r="F539" s="6"/>
      <c r="G539" s="6"/>
      <c r="H539" s="6"/>
      <c r="I539" s="6"/>
      <c r="J539" s="6"/>
      <c r="K539" s="6"/>
    </row>
    <row r="540" spans="1:11" x14ac:dyDescent="0.25">
      <c r="A540" s="6"/>
      <c r="B540" s="6"/>
      <c r="C540" s="6"/>
      <c r="D540" s="6"/>
      <c r="E540" s="6"/>
      <c r="F540" s="6"/>
      <c r="G540" s="6"/>
      <c r="H540" s="6"/>
      <c r="I540" s="6"/>
      <c r="J540" s="6"/>
      <c r="K540" s="6"/>
    </row>
    <row r="541" spans="1:11" x14ac:dyDescent="0.25">
      <c r="A541" s="6"/>
      <c r="B541" s="6"/>
      <c r="C541" s="6"/>
      <c r="D541" s="6"/>
      <c r="E541" s="6"/>
      <c r="F541" s="6"/>
      <c r="G541" s="6"/>
      <c r="H541" s="6"/>
      <c r="I541" s="6"/>
      <c r="J541" s="6"/>
      <c r="K541" s="6"/>
    </row>
    <row r="542" spans="1:11" x14ac:dyDescent="0.25">
      <c r="A542" s="6"/>
      <c r="B542" s="6"/>
      <c r="C542" s="6"/>
      <c r="D542" s="6"/>
      <c r="E542" s="6"/>
      <c r="F542" s="6"/>
      <c r="G542" s="6"/>
      <c r="H542" s="6"/>
      <c r="I542" s="6"/>
      <c r="J542" s="6"/>
      <c r="K542" s="6"/>
    </row>
    <row r="543" spans="1:11" x14ac:dyDescent="0.25">
      <c r="A543" s="6"/>
      <c r="B543" s="6"/>
      <c r="C543" s="6"/>
      <c r="D543" s="6"/>
      <c r="E543" s="6"/>
      <c r="F543" s="6"/>
      <c r="G543" s="6"/>
      <c r="H543" s="6"/>
      <c r="I543" s="6"/>
      <c r="J543" s="6"/>
      <c r="K543" s="6"/>
    </row>
    <row r="544" spans="1:11" x14ac:dyDescent="0.25">
      <c r="A544" s="6"/>
      <c r="B544" s="6"/>
      <c r="C544" s="6"/>
      <c r="D544" s="6"/>
      <c r="E544" s="6"/>
      <c r="F544" s="6"/>
      <c r="G544" s="6"/>
      <c r="H544" s="6"/>
      <c r="I544" s="6"/>
      <c r="J544" s="6"/>
      <c r="K544" s="6"/>
    </row>
    <row r="545" spans="1:11" x14ac:dyDescent="0.25">
      <c r="A545" s="6"/>
      <c r="B545" s="6"/>
      <c r="C545" s="6"/>
      <c r="D545" s="6"/>
      <c r="E545" s="6"/>
      <c r="F545" s="6"/>
      <c r="G545" s="6"/>
      <c r="H545" s="6"/>
      <c r="I545" s="6"/>
      <c r="J545" s="6"/>
      <c r="K545" s="6"/>
    </row>
    <row r="546" spans="1:11" x14ac:dyDescent="0.25">
      <c r="A546" s="6"/>
      <c r="B546" s="6"/>
      <c r="C546" s="6"/>
      <c r="D546" s="6"/>
      <c r="E546" s="6"/>
      <c r="F546" s="6"/>
      <c r="G546" s="6"/>
      <c r="H546" s="6"/>
      <c r="I546" s="6"/>
      <c r="J546" s="6"/>
      <c r="K546" s="6"/>
    </row>
    <row r="547" spans="1:11" x14ac:dyDescent="0.25">
      <c r="A547" s="6"/>
      <c r="B547" s="6"/>
      <c r="C547" s="6"/>
      <c r="D547" s="6"/>
      <c r="E547" s="6"/>
      <c r="F547" s="6"/>
      <c r="G547" s="6"/>
      <c r="H547" s="6"/>
      <c r="I547" s="6"/>
      <c r="J547" s="6"/>
      <c r="K547" s="6"/>
    </row>
    <row r="548" spans="1:11" x14ac:dyDescent="0.25">
      <c r="A548" s="6"/>
      <c r="B548" s="6"/>
      <c r="C548" s="6"/>
      <c r="D548" s="6"/>
      <c r="E548" s="6"/>
      <c r="F548" s="6"/>
      <c r="G548" s="6"/>
      <c r="H548" s="6"/>
      <c r="I548" s="6"/>
      <c r="J548" s="6"/>
      <c r="K548" s="6"/>
    </row>
    <row r="549" spans="1:11" x14ac:dyDescent="0.25">
      <c r="A549" s="6"/>
      <c r="B549" s="6"/>
      <c r="C549" s="6"/>
      <c r="D549" s="6"/>
      <c r="E549" s="6"/>
      <c r="F549" s="6"/>
      <c r="G549" s="6"/>
      <c r="H549" s="6"/>
      <c r="I549" s="6"/>
      <c r="J549" s="6"/>
      <c r="K549" s="6"/>
    </row>
    <row r="550" spans="1:11" x14ac:dyDescent="0.25">
      <c r="A550" s="6"/>
      <c r="B550" s="6"/>
      <c r="C550" s="6"/>
      <c r="D550" s="6"/>
      <c r="E550" s="6"/>
      <c r="F550" s="6"/>
      <c r="G550" s="6"/>
      <c r="H550" s="6"/>
      <c r="I550" s="6"/>
      <c r="J550" s="6"/>
      <c r="K550" s="6"/>
    </row>
    <row r="551" spans="1:11" x14ac:dyDescent="0.25">
      <c r="A551" s="6"/>
      <c r="B551" s="6"/>
      <c r="C551" s="6"/>
      <c r="D551" s="6"/>
      <c r="E551" s="6"/>
      <c r="F551" s="6"/>
      <c r="G551" s="6"/>
      <c r="H551" s="6"/>
      <c r="I551" s="6"/>
      <c r="J551" s="6"/>
      <c r="K551" s="6"/>
    </row>
    <row r="552" spans="1:11" x14ac:dyDescent="0.25">
      <c r="A552" s="6"/>
      <c r="B552" s="6"/>
      <c r="C552" s="6"/>
      <c r="D552" s="6"/>
      <c r="E552" s="6"/>
      <c r="F552" s="6"/>
      <c r="G552" s="6"/>
      <c r="H552" s="6"/>
      <c r="I552" s="6"/>
      <c r="J552" s="6"/>
      <c r="K552" s="6"/>
    </row>
    <row r="553" spans="1:11" x14ac:dyDescent="0.25">
      <c r="A553" s="6"/>
      <c r="B553" s="6"/>
      <c r="C553" s="6"/>
      <c r="D553" s="6"/>
      <c r="E553" s="6"/>
      <c r="F553" s="6"/>
      <c r="G553" s="6"/>
      <c r="H553" s="6"/>
      <c r="I553" s="6"/>
      <c r="J553" s="6"/>
      <c r="K553" s="6"/>
    </row>
    <row r="554" spans="1:11" x14ac:dyDescent="0.25">
      <c r="A554" s="6"/>
      <c r="B554" s="6"/>
      <c r="C554" s="6"/>
      <c r="D554" s="6"/>
      <c r="E554" s="6"/>
      <c r="F554" s="6"/>
      <c r="G554" s="6"/>
      <c r="H554" s="6"/>
      <c r="I554" s="6"/>
      <c r="J554" s="6"/>
      <c r="K554" s="6"/>
    </row>
    <row r="555" spans="1:11" x14ac:dyDescent="0.25">
      <c r="A555" s="6"/>
      <c r="B555" s="6"/>
      <c r="C555" s="6"/>
      <c r="D555" s="6"/>
      <c r="E555" s="6"/>
      <c r="F555" s="6"/>
      <c r="G555" s="6"/>
      <c r="H555" s="6"/>
      <c r="I555" s="6"/>
      <c r="J555" s="6"/>
      <c r="K555" s="6"/>
    </row>
    <row r="556" spans="1:11" x14ac:dyDescent="0.25">
      <c r="A556" s="6"/>
      <c r="B556" s="6"/>
      <c r="C556" s="6"/>
      <c r="D556" s="6"/>
      <c r="E556" s="6"/>
      <c r="F556" s="6"/>
      <c r="G556" s="6"/>
      <c r="H556" s="6"/>
      <c r="I556" s="6"/>
      <c r="J556" s="6"/>
      <c r="K556" s="6"/>
    </row>
    <row r="557" spans="1:11" x14ac:dyDescent="0.25">
      <c r="A557" s="6"/>
      <c r="B557" s="6"/>
      <c r="C557" s="6"/>
      <c r="D557" s="6"/>
      <c r="E557" s="6"/>
      <c r="F557" s="6"/>
      <c r="G557" s="6"/>
      <c r="H557" s="6"/>
      <c r="I557" s="6"/>
      <c r="J557" s="6"/>
      <c r="K557" s="6"/>
    </row>
    <row r="558" spans="1:11" x14ac:dyDescent="0.25">
      <c r="A558" s="6"/>
      <c r="B558" s="6"/>
      <c r="C558" s="6"/>
      <c r="D558" s="6"/>
      <c r="E558" s="6"/>
      <c r="F558" s="6"/>
      <c r="G558" s="6"/>
      <c r="H558" s="6"/>
      <c r="I558" s="6"/>
      <c r="J558" s="6"/>
      <c r="K558" s="6"/>
    </row>
    <row r="559" spans="1:11" x14ac:dyDescent="0.25">
      <c r="A559" s="6"/>
      <c r="B559" s="6"/>
      <c r="C559" s="6"/>
      <c r="D559" s="6"/>
      <c r="E559" s="6"/>
      <c r="F559" s="6"/>
      <c r="G559" s="6"/>
      <c r="H559" s="6"/>
      <c r="I559" s="6"/>
      <c r="J559" s="6"/>
      <c r="K559" s="6"/>
    </row>
    <row r="560" spans="1:11" x14ac:dyDescent="0.25">
      <c r="A560" s="6"/>
      <c r="B560" s="6"/>
      <c r="C560" s="6"/>
      <c r="D560" s="6"/>
      <c r="E560" s="6"/>
      <c r="F560" s="6"/>
      <c r="G560" s="6"/>
      <c r="H560" s="6"/>
      <c r="I560" s="6"/>
      <c r="J560" s="6"/>
      <c r="K560" s="6"/>
    </row>
    <row r="561" spans="1:11" x14ac:dyDescent="0.25">
      <c r="A561" s="6"/>
      <c r="B561" s="6"/>
      <c r="C561" s="6"/>
      <c r="D561" s="6"/>
      <c r="E561" s="6"/>
      <c r="F561" s="6"/>
      <c r="G561" s="6"/>
      <c r="H561" s="6"/>
      <c r="I561" s="6"/>
      <c r="J561" s="6"/>
      <c r="K561" s="6"/>
    </row>
    <row r="562" spans="1:11" x14ac:dyDescent="0.25">
      <c r="A562" s="6"/>
      <c r="B562" s="6"/>
      <c r="C562" s="6"/>
      <c r="D562" s="6"/>
      <c r="E562" s="6"/>
      <c r="F562" s="6"/>
      <c r="G562" s="6"/>
      <c r="H562" s="6"/>
      <c r="I562" s="6"/>
      <c r="J562" s="6"/>
      <c r="K562" s="6"/>
    </row>
    <row r="563" spans="1:11" x14ac:dyDescent="0.25">
      <c r="A563" s="6"/>
      <c r="B563" s="6"/>
      <c r="C563" s="6"/>
      <c r="D563" s="6"/>
      <c r="E563" s="6"/>
      <c r="F563" s="6"/>
      <c r="G563" s="6"/>
      <c r="H563" s="6"/>
      <c r="I563" s="6"/>
      <c r="J563" s="6"/>
      <c r="K563" s="6"/>
    </row>
    <row r="564" spans="1:11" x14ac:dyDescent="0.25">
      <c r="A564" s="6"/>
      <c r="B564" s="6"/>
      <c r="C564" s="6"/>
      <c r="D564" s="6"/>
      <c r="E564" s="6"/>
      <c r="F564" s="6"/>
      <c r="G564" s="6"/>
      <c r="H564" s="6"/>
      <c r="I564" s="6"/>
      <c r="J564" s="6"/>
      <c r="K564" s="6"/>
    </row>
    <row r="565" spans="1:11" x14ac:dyDescent="0.25">
      <c r="A565" s="6"/>
      <c r="B565" s="6"/>
      <c r="C565" s="6"/>
      <c r="D565" s="6"/>
      <c r="E565" s="6"/>
      <c r="F565" s="6"/>
      <c r="G565" s="6"/>
      <c r="H565" s="6"/>
      <c r="I565" s="6"/>
      <c r="J565" s="6"/>
      <c r="K565" s="6"/>
    </row>
    <row r="566" spans="1:11" x14ac:dyDescent="0.25">
      <c r="A566" s="6"/>
      <c r="B566" s="6"/>
      <c r="C566" s="6"/>
      <c r="D566" s="6"/>
      <c r="E566" s="6"/>
      <c r="F566" s="6"/>
      <c r="G566" s="6"/>
      <c r="H566" s="6"/>
      <c r="I566" s="6"/>
      <c r="J566" s="6"/>
      <c r="K566" s="6"/>
    </row>
    <row r="567" spans="1:11" x14ac:dyDescent="0.25">
      <c r="A567" s="6"/>
      <c r="B567" s="6"/>
      <c r="C567" s="6"/>
      <c r="D567" s="6"/>
      <c r="E567" s="6"/>
      <c r="F567" s="6"/>
      <c r="G567" s="6"/>
      <c r="H567" s="6"/>
      <c r="I567" s="6"/>
      <c r="J567" s="6"/>
      <c r="K567" s="6"/>
    </row>
    <row r="568" spans="1:11" x14ac:dyDescent="0.25">
      <c r="A568" s="6"/>
      <c r="B568" s="6"/>
      <c r="C568" s="6"/>
      <c r="D568" s="6"/>
      <c r="E568" s="6"/>
      <c r="F568" s="6"/>
      <c r="G568" s="6"/>
      <c r="H568" s="6"/>
      <c r="I568" s="6"/>
      <c r="J568" s="6"/>
      <c r="K568" s="6"/>
    </row>
    <row r="569" spans="1:11" x14ac:dyDescent="0.25">
      <c r="A569" s="6"/>
      <c r="B569" s="6"/>
      <c r="C569" s="6"/>
      <c r="D569" s="6"/>
      <c r="E569" s="6"/>
      <c r="F569" s="6"/>
      <c r="G569" s="6"/>
      <c r="H569" s="6"/>
      <c r="I569" s="6"/>
      <c r="J569" s="6"/>
      <c r="K569" s="6"/>
    </row>
    <row r="570" spans="1:11" x14ac:dyDescent="0.25">
      <c r="A570" s="6"/>
      <c r="B570" s="6"/>
      <c r="C570" s="6"/>
      <c r="D570" s="6"/>
      <c r="E570" s="6"/>
      <c r="F570" s="6"/>
      <c r="G570" s="6"/>
      <c r="H570" s="6"/>
      <c r="I570" s="6"/>
      <c r="J570" s="6"/>
      <c r="K570" s="6"/>
    </row>
    <row r="571" spans="1:11" x14ac:dyDescent="0.25">
      <c r="A571" s="6"/>
      <c r="B571" s="6"/>
      <c r="C571" s="6"/>
      <c r="D571" s="6"/>
      <c r="E571" s="6"/>
      <c r="F571" s="6"/>
      <c r="G571" s="6"/>
      <c r="H571" s="6"/>
      <c r="I571" s="6"/>
      <c r="J571" s="6"/>
      <c r="K571" s="6"/>
    </row>
    <row r="572" spans="1:11" x14ac:dyDescent="0.25">
      <c r="A572" s="6"/>
      <c r="B572" s="6"/>
      <c r="C572" s="6"/>
      <c r="D572" s="6"/>
      <c r="E572" s="6"/>
      <c r="F572" s="6"/>
      <c r="G572" s="6"/>
      <c r="H572" s="6"/>
      <c r="I572" s="6"/>
      <c r="J572" s="6"/>
      <c r="K572" s="6"/>
    </row>
    <row r="573" spans="1:11" x14ac:dyDescent="0.25">
      <c r="A573" s="6"/>
      <c r="B573" s="6"/>
      <c r="C573" s="6"/>
      <c r="D573" s="6"/>
      <c r="E573" s="6"/>
      <c r="F573" s="6"/>
      <c r="G573" s="6"/>
      <c r="H573" s="6"/>
      <c r="I573" s="6"/>
      <c r="J573" s="6"/>
      <c r="K573" s="6"/>
    </row>
    <row r="574" spans="1:11" x14ac:dyDescent="0.25">
      <c r="A574" s="6"/>
      <c r="B574" s="6"/>
      <c r="C574" s="6"/>
      <c r="D574" s="6"/>
      <c r="E574" s="6"/>
      <c r="F574" s="6"/>
      <c r="G574" s="6"/>
      <c r="H574" s="6"/>
      <c r="I574" s="6"/>
      <c r="J574" s="6"/>
      <c r="K574" s="6"/>
    </row>
    <row r="575" spans="1:11" x14ac:dyDescent="0.25">
      <c r="A575" s="6"/>
      <c r="B575" s="6"/>
      <c r="C575" s="6"/>
      <c r="D575" s="6"/>
      <c r="E575" s="6"/>
      <c r="F575" s="6"/>
      <c r="G575" s="6"/>
      <c r="H575" s="6"/>
      <c r="I575" s="6"/>
      <c r="J575" s="6"/>
      <c r="K575" s="6"/>
    </row>
    <row r="576" spans="1:11" x14ac:dyDescent="0.25">
      <c r="A576" s="6"/>
      <c r="B576" s="6"/>
      <c r="C576" s="6"/>
      <c r="D576" s="6"/>
      <c r="E576" s="6"/>
      <c r="F576" s="6"/>
      <c r="G576" s="6"/>
      <c r="H576" s="6"/>
      <c r="I576" s="6"/>
      <c r="J576" s="6"/>
      <c r="K576" s="6"/>
    </row>
    <row r="577" spans="1:11" x14ac:dyDescent="0.25">
      <c r="A577" s="6"/>
      <c r="B577" s="6"/>
      <c r="C577" s="6"/>
      <c r="D577" s="6"/>
      <c r="E577" s="6"/>
      <c r="F577" s="6"/>
      <c r="G577" s="6"/>
      <c r="H577" s="6"/>
      <c r="I577" s="6"/>
      <c r="J577" s="6"/>
      <c r="K577" s="6"/>
    </row>
    <row r="578" spans="1:11" x14ac:dyDescent="0.25">
      <c r="A578" s="6"/>
      <c r="B578" s="6"/>
      <c r="C578" s="6"/>
      <c r="D578" s="6"/>
      <c r="E578" s="6"/>
      <c r="F578" s="6"/>
      <c r="G578" s="6"/>
      <c r="H578" s="6"/>
      <c r="I578" s="6"/>
      <c r="J578" s="6"/>
      <c r="K578" s="6"/>
    </row>
    <row r="579" spans="1:11" x14ac:dyDescent="0.25">
      <c r="A579" s="6"/>
      <c r="B579" s="6"/>
      <c r="C579" s="6"/>
      <c r="D579" s="6"/>
      <c r="E579" s="6"/>
      <c r="F579" s="6"/>
      <c r="G579" s="6"/>
      <c r="H579" s="6"/>
      <c r="I579" s="6"/>
      <c r="J579" s="6"/>
      <c r="K579" s="6"/>
    </row>
    <row r="580" spans="1:11" x14ac:dyDescent="0.25">
      <c r="A580" s="6"/>
      <c r="B580" s="6"/>
      <c r="C580" s="6"/>
      <c r="D580" s="6"/>
      <c r="E580" s="6"/>
      <c r="F580" s="6"/>
      <c r="G580" s="6"/>
      <c r="H580" s="6"/>
      <c r="I580" s="6"/>
      <c r="J580" s="6"/>
      <c r="K580" s="6"/>
    </row>
    <row r="581" spans="1:11" x14ac:dyDescent="0.25">
      <c r="A581" s="6"/>
      <c r="B581" s="6"/>
      <c r="C581" s="6"/>
      <c r="D581" s="6"/>
      <c r="E581" s="6"/>
      <c r="F581" s="6"/>
      <c r="G581" s="6"/>
      <c r="H581" s="6"/>
      <c r="I581" s="6"/>
      <c r="J581" s="6"/>
      <c r="K581" s="6"/>
    </row>
    <row r="582" spans="1:11" x14ac:dyDescent="0.25">
      <c r="A582" s="6"/>
      <c r="B582" s="6"/>
      <c r="C582" s="6"/>
      <c r="D582" s="6"/>
      <c r="E582" s="6"/>
      <c r="F582" s="6"/>
      <c r="G582" s="6"/>
      <c r="H582" s="6"/>
      <c r="I582" s="6"/>
      <c r="J582" s="6"/>
      <c r="K582" s="6"/>
    </row>
    <row r="583" spans="1:11" x14ac:dyDescent="0.25">
      <c r="A583" s="6"/>
      <c r="B583" s="6"/>
      <c r="C583" s="6"/>
      <c r="D583" s="6"/>
      <c r="E583" s="6"/>
      <c r="F583" s="6"/>
      <c r="G583" s="6"/>
      <c r="H583" s="6"/>
      <c r="I583" s="6"/>
      <c r="J583" s="6"/>
      <c r="K583" s="6"/>
    </row>
    <row r="584" spans="1:11" x14ac:dyDescent="0.25">
      <c r="A584" s="6"/>
      <c r="B584" s="6"/>
      <c r="C584" s="6"/>
      <c r="D584" s="6"/>
      <c r="E584" s="6"/>
      <c r="F584" s="6"/>
      <c r="G584" s="6"/>
      <c r="H584" s="6"/>
      <c r="I584" s="6"/>
      <c r="J584" s="6"/>
      <c r="K584" s="6"/>
    </row>
    <row r="585" spans="1:11" x14ac:dyDescent="0.25">
      <c r="A585" s="6"/>
      <c r="B585" s="6"/>
      <c r="C585" s="6"/>
      <c r="D585" s="6"/>
      <c r="E585" s="6"/>
      <c r="F585" s="6"/>
      <c r="G585" s="6"/>
      <c r="H585" s="6"/>
      <c r="I585" s="6"/>
      <c r="J585" s="6"/>
      <c r="K585" s="6"/>
    </row>
    <row r="586" spans="1:11" x14ac:dyDescent="0.25">
      <c r="A586" s="6"/>
      <c r="B586" s="6"/>
      <c r="C586" s="6"/>
      <c r="D586" s="6"/>
      <c r="E586" s="6"/>
      <c r="F586" s="6"/>
      <c r="G586" s="6"/>
      <c r="H586" s="6"/>
      <c r="I586" s="6"/>
      <c r="J586" s="6"/>
      <c r="K586" s="6"/>
    </row>
    <row r="587" spans="1:11" x14ac:dyDescent="0.25">
      <c r="A587" s="6"/>
      <c r="B587" s="6"/>
      <c r="C587" s="6"/>
      <c r="D587" s="6"/>
      <c r="E587" s="6"/>
      <c r="F587" s="6"/>
      <c r="G587" s="6"/>
      <c r="H587" s="6"/>
      <c r="I587" s="6"/>
      <c r="J587" s="6"/>
      <c r="K587" s="6"/>
    </row>
    <row r="588" spans="1:11" x14ac:dyDescent="0.25">
      <c r="A588" s="6"/>
      <c r="B588" s="6"/>
      <c r="C588" s="6"/>
      <c r="D588" s="6"/>
      <c r="E588" s="6"/>
      <c r="F588" s="6"/>
      <c r="G588" s="6"/>
      <c r="H588" s="6"/>
      <c r="I588" s="6"/>
      <c r="J588" s="6"/>
      <c r="K588" s="6"/>
    </row>
    <row r="589" spans="1:11" x14ac:dyDescent="0.25">
      <c r="A589" s="6"/>
      <c r="B589" s="6"/>
      <c r="C589" s="6"/>
      <c r="D589" s="6"/>
      <c r="E589" s="6"/>
      <c r="F589" s="6"/>
      <c r="G589" s="6"/>
      <c r="H589" s="6"/>
      <c r="I589" s="6"/>
      <c r="J589" s="6"/>
      <c r="K589" s="6"/>
    </row>
    <row r="590" spans="1:11" x14ac:dyDescent="0.25">
      <c r="A590" s="6"/>
      <c r="B590" s="6"/>
      <c r="C590" s="6"/>
      <c r="D590" s="6"/>
      <c r="E590" s="6"/>
      <c r="F590" s="6"/>
      <c r="G590" s="6"/>
      <c r="H590" s="6"/>
      <c r="I590" s="6"/>
      <c r="J590" s="6"/>
      <c r="K590" s="6"/>
    </row>
    <row r="591" spans="1:11" x14ac:dyDescent="0.25">
      <c r="A591" s="6"/>
      <c r="B591" s="6"/>
      <c r="C591" s="6"/>
      <c r="D591" s="6"/>
      <c r="E591" s="6"/>
      <c r="F591" s="6"/>
      <c r="G591" s="6"/>
      <c r="H591" s="6"/>
      <c r="I591" s="6"/>
      <c r="J591" s="6"/>
      <c r="K591" s="6"/>
    </row>
    <row r="592" spans="1:11" x14ac:dyDescent="0.25">
      <c r="A592" s="6"/>
      <c r="B592" s="6"/>
      <c r="C592" s="6"/>
      <c r="D592" s="6"/>
      <c r="E592" s="6"/>
      <c r="F592" s="6"/>
      <c r="G592" s="6"/>
      <c r="H592" s="6"/>
      <c r="I592" s="6"/>
      <c r="J592" s="6"/>
      <c r="K592" s="6"/>
    </row>
    <row r="593" spans="1:11" x14ac:dyDescent="0.25">
      <c r="A593" s="6"/>
      <c r="B593" s="6"/>
      <c r="C593" s="6"/>
      <c r="D593" s="6"/>
      <c r="E593" s="6"/>
      <c r="F593" s="6"/>
      <c r="G593" s="6"/>
      <c r="H593" s="6"/>
      <c r="I593" s="6"/>
      <c r="J593" s="6"/>
      <c r="K593" s="6"/>
    </row>
    <row r="594" spans="1:11" x14ac:dyDescent="0.25">
      <c r="A594" s="6"/>
      <c r="B594" s="6"/>
      <c r="C594" s="6"/>
      <c r="D594" s="6"/>
      <c r="E594" s="6"/>
      <c r="F594" s="6"/>
      <c r="G594" s="6"/>
      <c r="H594" s="6"/>
      <c r="I594" s="6"/>
      <c r="J594" s="6"/>
      <c r="K594" s="6"/>
    </row>
    <row r="595" spans="1:11" x14ac:dyDescent="0.25">
      <c r="A595" s="6"/>
      <c r="B595" s="6"/>
      <c r="C595" s="6"/>
      <c r="D595" s="6"/>
      <c r="E595" s="6"/>
      <c r="F595" s="6"/>
      <c r="G595" s="6"/>
      <c r="H595" s="6"/>
      <c r="I595" s="6"/>
      <c r="J595" s="6"/>
      <c r="K595" s="6"/>
    </row>
    <row r="596" spans="1:11" x14ac:dyDescent="0.25">
      <c r="A596" s="6"/>
      <c r="B596" s="6"/>
      <c r="C596" s="6"/>
      <c r="D596" s="6"/>
      <c r="E596" s="6"/>
      <c r="F596" s="6"/>
      <c r="G596" s="6"/>
      <c r="H596" s="6"/>
      <c r="I596" s="6"/>
      <c r="J596" s="6"/>
      <c r="K596" s="6"/>
    </row>
    <row r="597" spans="1:11" x14ac:dyDescent="0.25">
      <c r="A597" s="6"/>
      <c r="B597" s="6"/>
      <c r="C597" s="6"/>
      <c r="D597" s="6"/>
      <c r="E597" s="6"/>
      <c r="F597" s="6"/>
      <c r="G597" s="6"/>
      <c r="H597" s="6"/>
      <c r="I597" s="6"/>
      <c r="J597" s="6"/>
      <c r="K597" s="6"/>
    </row>
    <row r="598" spans="1:11" x14ac:dyDescent="0.25">
      <c r="A598" s="6"/>
      <c r="B598" s="6"/>
      <c r="C598" s="6"/>
      <c r="D598" s="6"/>
      <c r="E598" s="6"/>
      <c r="F598" s="6"/>
      <c r="G598" s="6"/>
      <c r="H598" s="6"/>
      <c r="I598" s="6"/>
      <c r="J598" s="6"/>
      <c r="K598" s="6"/>
    </row>
    <row r="599" spans="1:11" x14ac:dyDescent="0.25">
      <c r="A599" s="6"/>
      <c r="B599" s="6"/>
      <c r="C599" s="6"/>
      <c r="D599" s="6"/>
      <c r="E599" s="6"/>
      <c r="F599" s="6"/>
      <c r="G599" s="6"/>
      <c r="H599" s="6"/>
      <c r="I599" s="6"/>
      <c r="J599" s="6"/>
      <c r="K599" s="6"/>
    </row>
    <row r="600" spans="1:11" x14ac:dyDescent="0.25">
      <c r="A600" s="6"/>
      <c r="B600" s="6"/>
      <c r="C600" s="6"/>
      <c r="D600" s="6"/>
      <c r="E600" s="6"/>
      <c r="F600" s="6"/>
      <c r="G600" s="6"/>
      <c r="H600" s="6"/>
      <c r="I600" s="6"/>
      <c r="J600" s="6"/>
      <c r="K600" s="6"/>
    </row>
    <row r="601" spans="1:11" x14ac:dyDescent="0.25">
      <c r="A601" s="6"/>
      <c r="B601" s="6"/>
      <c r="C601" s="6"/>
      <c r="D601" s="6"/>
      <c r="E601" s="6"/>
      <c r="F601" s="6"/>
      <c r="G601" s="6"/>
      <c r="H601" s="6"/>
      <c r="I601" s="6"/>
      <c r="J601" s="6"/>
      <c r="K601" s="6"/>
    </row>
    <row r="602" spans="1:11" x14ac:dyDescent="0.25">
      <c r="A602" s="6"/>
      <c r="B602" s="6"/>
      <c r="C602" s="6"/>
      <c r="D602" s="6"/>
      <c r="E602" s="6"/>
      <c r="F602" s="6"/>
      <c r="G602" s="6"/>
      <c r="H602" s="6"/>
      <c r="I602" s="6"/>
      <c r="J602" s="6"/>
      <c r="K602" s="6"/>
    </row>
    <row r="603" spans="1:11" x14ac:dyDescent="0.25">
      <c r="A603" s="6"/>
      <c r="B603" s="6"/>
      <c r="C603" s="6"/>
      <c r="D603" s="6"/>
      <c r="E603" s="6"/>
      <c r="F603" s="6"/>
      <c r="G603" s="6"/>
      <c r="H603" s="6"/>
      <c r="I603" s="6"/>
      <c r="J603" s="6"/>
      <c r="K603" s="6"/>
    </row>
    <row r="604" spans="1:11" x14ac:dyDescent="0.25">
      <c r="A604" s="6"/>
      <c r="B604" s="6"/>
      <c r="C604" s="6"/>
      <c r="D604" s="6"/>
      <c r="E604" s="6"/>
      <c r="F604" s="6"/>
      <c r="G604" s="6"/>
      <c r="H604" s="6"/>
      <c r="I604" s="6"/>
      <c r="J604" s="6"/>
      <c r="K604" s="6"/>
    </row>
    <row r="605" spans="1:11" x14ac:dyDescent="0.25">
      <c r="A605" s="6"/>
      <c r="B605" s="6"/>
      <c r="C605" s="6"/>
      <c r="D605" s="6"/>
      <c r="E605" s="6"/>
      <c r="F605" s="6"/>
      <c r="G605" s="6"/>
      <c r="H605" s="6"/>
      <c r="I605" s="6"/>
      <c r="J605" s="6"/>
      <c r="K605" s="6"/>
    </row>
    <row r="606" spans="1:11" x14ac:dyDescent="0.25">
      <c r="A606" s="6"/>
      <c r="B606" s="6"/>
      <c r="C606" s="6"/>
      <c r="D606" s="6"/>
      <c r="E606" s="6"/>
      <c r="F606" s="6"/>
      <c r="G606" s="6"/>
      <c r="H606" s="6"/>
      <c r="I606" s="6"/>
      <c r="J606" s="6"/>
      <c r="K606" s="6"/>
    </row>
    <row r="607" spans="1:11" x14ac:dyDescent="0.25">
      <c r="A607" s="6"/>
      <c r="B607" s="6"/>
      <c r="C607" s="6"/>
      <c r="D607" s="6"/>
      <c r="E607" s="6"/>
      <c r="F607" s="6"/>
      <c r="G607" s="6"/>
      <c r="H607" s="6"/>
      <c r="I607" s="6"/>
      <c r="J607" s="6"/>
      <c r="K607" s="6"/>
    </row>
    <row r="608" spans="1:11" x14ac:dyDescent="0.25">
      <c r="A608" s="6"/>
      <c r="B608" s="6"/>
      <c r="C608" s="6"/>
      <c r="D608" s="6"/>
      <c r="E608" s="6"/>
      <c r="F608" s="6"/>
      <c r="G608" s="6"/>
      <c r="H608" s="6"/>
      <c r="I608" s="6"/>
      <c r="J608" s="6"/>
      <c r="K608" s="6"/>
    </row>
    <row r="609" spans="1:11" x14ac:dyDescent="0.25">
      <c r="A609" s="6"/>
      <c r="B609" s="6"/>
      <c r="C609" s="6"/>
      <c r="D609" s="6"/>
      <c r="E609" s="6"/>
      <c r="F609" s="6"/>
      <c r="G609" s="6"/>
      <c r="H609" s="6"/>
      <c r="I609" s="6"/>
      <c r="J609" s="6"/>
      <c r="K609" s="6"/>
    </row>
    <row r="610" spans="1:11" x14ac:dyDescent="0.25">
      <c r="A610" s="6"/>
      <c r="B610" s="6"/>
      <c r="C610" s="6"/>
      <c r="D610" s="6"/>
      <c r="E610" s="6"/>
      <c r="F610" s="6"/>
      <c r="G610" s="6"/>
      <c r="H610" s="6"/>
      <c r="I610" s="6"/>
      <c r="J610" s="6"/>
      <c r="K610" s="6"/>
    </row>
    <row r="611" spans="1:11" x14ac:dyDescent="0.25">
      <c r="A611" s="6"/>
      <c r="B611" s="6"/>
      <c r="C611" s="6"/>
      <c r="D611" s="6"/>
      <c r="E611" s="6"/>
      <c r="F611" s="6"/>
      <c r="G611" s="6"/>
      <c r="H611" s="6"/>
      <c r="I611" s="6"/>
      <c r="J611" s="6"/>
      <c r="K611" s="6"/>
    </row>
    <row r="612" spans="1:11" x14ac:dyDescent="0.25">
      <c r="A612" s="6"/>
      <c r="B612" s="6"/>
      <c r="C612" s="6"/>
      <c r="D612" s="6"/>
      <c r="E612" s="6"/>
      <c r="F612" s="6"/>
      <c r="G612" s="6"/>
      <c r="H612" s="6"/>
      <c r="I612" s="6"/>
      <c r="J612" s="6"/>
      <c r="K612" s="6"/>
    </row>
    <row r="613" spans="1:11" x14ac:dyDescent="0.25">
      <c r="A613" s="6"/>
      <c r="B613" s="6"/>
      <c r="C613" s="6"/>
      <c r="D613" s="6"/>
      <c r="E613" s="6"/>
      <c r="F613" s="6"/>
      <c r="G613" s="6"/>
      <c r="H613" s="6"/>
      <c r="I613" s="6"/>
      <c r="J613" s="6"/>
      <c r="K613" s="6"/>
    </row>
    <row r="614" spans="1:11" x14ac:dyDescent="0.25">
      <c r="A614" s="6"/>
      <c r="B614" s="6"/>
      <c r="C614" s="6"/>
      <c r="D614" s="6"/>
      <c r="E614" s="6"/>
      <c r="F614" s="6"/>
      <c r="G614" s="6"/>
      <c r="H614" s="6"/>
      <c r="I614" s="6"/>
      <c r="J614" s="6"/>
      <c r="K614" s="6"/>
    </row>
    <row r="615" spans="1:11" x14ac:dyDescent="0.25">
      <c r="A615" s="6"/>
      <c r="B615" s="6"/>
      <c r="C615" s="6"/>
      <c r="D615" s="6"/>
      <c r="E615" s="6"/>
      <c r="F615" s="6"/>
      <c r="G615" s="6"/>
      <c r="H615" s="6"/>
      <c r="I615" s="6"/>
      <c r="J615" s="6"/>
      <c r="K615" s="6"/>
    </row>
    <row r="616" spans="1:11" x14ac:dyDescent="0.25">
      <c r="A616" s="6"/>
      <c r="B616" s="6"/>
      <c r="C616" s="6"/>
      <c r="D616" s="6"/>
      <c r="E616" s="6"/>
      <c r="F616" s="6"/>
      <c r="G616" s="6"/>
      <c r="H616" s="6"/>
      <c r="I616" s="6"/>
      <c r="J616" s="6"/>
      <c r="K616" s="6"/>
    </row>
    <row r="617" spans="1:11" x14ac:dyDescent="0.25">
      <c r="A617" s="6"/>
      <c r="B617" s="6"/>
      <c r="C617" s="6"/>
      <c r="D617" s="6"/>
      <c r="E617" s="6"/>
      <c r="F617" s="6"/>
      <c r="G617" s="6"/>
      <c r="H617" s="6"/>
      <c r="I617" s="6"/>
      <c r="J617" s="6"/>
      <c r="K617" s="6"/>
    </row>
    <row r="618" spans="1:11" x14ac:dyDescent="0.25">
      <c r="A618" s="6"/>
      <c r="B618" s="6"/>
      <c r="C618" s="6"/>
      <c r="D618" s="6"/>
      <c r="E618" s="6"/>
      <c r="F618" s="6"/>
      <c r="G618" s="6"/>
      <c r="H618" s="6"/>
      <c r="I618" s="6"/>
      <c r="J618" s="6"/>
      <c r="K618" s="6"/>
    </row>
    <row r="619" spans="1:11" x14ac:dyDescent="0.25">
      <c r="A619" s="6"/>
      <c r="B619" s="6"/>
      <c r="C619" s="6"/>
      <c r="D619" s="6"/>
      <c r="E619" s="6"/>
      <c r="F619" s="6"/>
      <c r="G619" s="6"/>
      <c r="H619" s="6"/>
      <c r="I619" s="6"/>
      <c r="J619" s="6"/>
      <c r="K619" s="6"/>
    </row>
    <row r="620" spans="1:11" x14ac:dyDescent="0.25">
      <c r="A620" s="6"/>
      <c r="B620" s="6"/>
      <c r="C620" s="6"/>
      <c r="D620" s="6"/>
      <c r="E620" s="6"/>
      <c r="F620" s="6"/>
      <c r="G620" s="6"/>
      <c r="H620" s="6"/>
      <c r="I620" s="6"/>
      <c r="J620" s="6"/>
      <c r="K620" s="6"/>
    </row>
    <row r="621" spans="1:11" x14ac:dyDescent="0.25">
      <c r="A621" s="6"/>
      <c r="B621" s="6"/>
      <c r="C621" s="6"/>
      <c r="D621" s="6"/>
      <c r="E621" s="6"/>
      <c r="F621" s="6"/>
      <c r="G621" s="6"/>
      <c r="H621" s="6"/>
      <c r="I621" s="6"/>
      <c r="J621" s="6"/>
      <c r="K621" s="6"/>
    </row>
    <row r="622" spans="1:11" x14ac:dyDescent="0.25">
      <c r="A622" s="6"/>
      <c r="B622" s="6"/>
      <c r="C622" s="6"/>
      <c r="D622" s="6"/>
      <c r="E622" s="6"/>
      <c r="F622" s="6"/>
      <c r="G622" s="6"/>
      <c r="H622" s="6"/>
      <c r="I622" s="6"/>
      <c r="J622" s="6"/>
      <c r="K622" s="6"/>
    </row>
    <row r="623" spans="1:11" x14ac:dyDescent="0.25">
      <c r="A623" s="6"/>
      <c r="B623" s="6"/>
      <c r="C623" s="6"/>
      <c r="D623" s="6"/>
      <c r="E623" s="6"/>
      <c r="F623" s="6"/>
      <c r="G623" s="6"/>
      <c r="H623" s="6"/>
      <c r="I623" s="6"/>
      <c r="J623" s="6"/>
      <c r="K623" s="6"/>
    </row>
    <row r="624" spans="1:11" x14ac:dyDescent="0.25">
      <c r="A624" s="6"/>
      <c r="B624" s="6"/>
      <c r="C624" s="6"/>
      <c r="D624" s="6"/>
      <c r="E624" s="6"/>
      <c r="F624" s="6"/>
      <c r="G624" s="6"/>
      <c r="H624" s="6"/>
      <c r="I624" s="6"/>
      <c r="J624" s="6"/>
      <c r="K624" s="6"/>
    </row>
    <row r="625" spans="1:11" x14ac:dyDescent="0.25">
      <c r="A625" s="6"/>
      <c r="B625" s="6"/>
      <c r="C625" s="6"/>
      <c r="D625" s="6"/>
      <c r="E625" s="6"/>
      <c r="F625" s="6"/>
      <c r="G625" s="6"/>
      <c r="H625" s="6"/>
      <c r="I625" s="6"/>
      <c r="J625" s="6"/>
      <c r="K625" s="6"/>
    </row>
    <row r="626" spans="1:11" x14ac:dyDescent="0.25">
      <c r="A626" s="6"/>
      <c r="B626" s="6"/>
      <c r="C626" s="6"/>
      <c r="D626" s="6"/>
      <c r="E626" s="6"/>
      <c r="F626" s="6"/>
      <c r="G626" s="6"/>
      <c r="H626" s="6"/>
      <c r="I626" s="6"/>
      <c r="J626" s="6"/>
      <c r="K626" s="6"/>
    </row>
    <row r="627" spans="1:11" x14ac:dyDescent="0.25">
      <c r="A627" s="6"/>
      <c r="B627" s="6"/>
      <c r="C627" s="6"/>
      <c r="D627" s="6"/>
      <c r="E627" s="6"/>
      <c r="F627" s="6"/>
      <c r="G627" s="6"/>
      <c r="H627" s="6"/>
      <c r="I627" s="6"/>
      <c r="J627" s="6"/>
      <c r="K627" s="6"/>
    </row>
    <row r="628" spans="1:11" x14ac:dyDescent="0.25">
      <c r="A628" s="6"/>
      <c r="B628" s="6"/>
      <c r="C628" s="6"/>
      <c r="D628" s="6"/>
      <c r="E628" s="6"/>
      <c r="F628" s="6"/>
      <c r="G628" s="6"/>
      <c r="H628" s="6"/>
      <c r="I628" s="6"/>
      <c r="J628" s="6"/>
      <c r="K628" s="6"/>
    </row>
    <row r="629" spans="1:11" x14ac:dyDescent="0.25">
      <c r="A629" s="6"/>
      <c r="B629" s="6"/>
      <c r="C629" s="6"/>
      <c r="D629" s="6"/>
      <c r="E629" s="6"/>
      <c r="F629" s="6"/>
      <c r="G629" s="6"/>
      <c r="H629" s="6"/>
      <c r="I629" s="6"/>
      <c r="J629" s="6"/>
      <c r="K629" s="6"/>
    </row>
    <row r="630" spans="1:11" x14ac:dyDescent="0.25">
      <c r="A630" s="6"/>
      <c r="B630" s="6"/>
      <c r="C630" s="6"/>
      <c r="D630" s="6"/>
      <c r="E630" s="6"/>
      <c r="F630" s="6"/>
      <c r="G630" s="6"/>
      <c r="H630" s="6"/>
      <c r="I630" s="6"/>
      <c r="J630" s="6"/>
      <c r="K630" s="6"/>
    </row>
    <row r="631" spans="1:11" x14ac:dyDescent="0.25">
      <c r="A631" s="6"/>
      <c r="B631" s="6"/>
      <c r="C631" s="6"/>
      <c r="D631" s="6"/>
      <c r="E631" s="6"/>
      <c r="F631" s="6"/>
      <c r="G631" s="6"/>
      <c r="H631" s="6"/>
      <c r="I631" s="6"/>
      <c r="J631" s="6"/>
      <c r="K631" s="6"/>
    </row>
    <row r="632" spans="1:11" x14ac:dyDescent="0.25">
      <c r="A632" s="6"/>
      <c r="B632" s="6"/>
      <c r="C632" s="6"/>
      <c r="D632" s="6"/>
      <c r="E632" s="6"/>
      <c r="F632" s="6"/>
      <c r="G632" s="6"/>
      <c r="H632" s="6"/>
      <c r="I632" s="6"/>
      <c r="J632" s="6"/>
      <c r="K632" s="6"/>
    </row>
    <row r="633" spans="1:11" x14ac:dyDescent="0.25">
      <c r="A633" s="6"/>
      <c r="B633" s="6"/>
      <c r="C633" s="6"/>
      <c r="D633" s="6"/>
      <c r="E633" s="6"/>
      <c r="F633" s="6"/>
      <c r="G633" s="6"/>
      <c r="H633" s="6"/>
      <c r="I633" s="6"/>
      <c r="J633" s="6"/>
      <c r="K633" s="6"/>
    </row>
    <row r="634" spans="1:11" x14ac:dyDescent="0.25">
      <c r="A634" s="6"/>
      <c r="B634" s="6"/>
      <c r="C634" s="6"/>
      <c r="D634" s="6"/>
      <c r="E634" s="6"/>
      <c r="F634" s="6"/>
      <c r="G634" s="6"/>
      <c r="H634" s="6"/>
      <c r="I634" s="6"/>
      <c r="J634" s="6"/>
      <c r="K634" s="6"/>
    </row>
    <row r="635" spans="1:11" x14ac:dyDescent="0.25">
      <c r="A635" s="6"/>
      <c r="B635" s="6"/>
      <c r="C635" s="6"/>
      <c r="D635" s="6"/>
      <c r="E635" s="6"/>
      <c r="F635" s="6"/>
      <c r="G635" s="6"/>
      <c r="H635" s="6"/>
      <c r="I635" s="6"/>
      <c r="J635" s="6"/>
      <c r="K635" s="6"/>
    </row>
    <row r="636" spans="1:11" x14ac:dyDescent="0.25">
      <c r="A636" s="6"/>
      <c r="B636" s="6"/>
      <c r="C636" s="6"/>
      <c r="D636" s="6"/>
      <c r="E636" s="6"/>
      <c r="F636" s="6"/>
      <c r="G636" s="6"/>
      <c r="H636" s="6"/>
      <c r="I636" s="6"/>
      <c r="J636" s="6"/>
      <c r="K636" s="6"/>
    </row>
    <row r="637" spans="1:11" x14ac:dyDescent="0.25">
      <c r="A637" s="6"/>
      <c r="B637" s="6"/>
      <c r="C637" s="6"/>
      <c r="D637" s="6"/>
      <c r="E637" s="6"/>
      <c r="F637" s="6"/>
      <c r="G637" s="6"/>
      <c r="H637" s="6"/>
      <c r="I637" s="6"/>
      <c r="J637" s="6"/>
      <c r="K637" s="6"/>
    </row>
    <row r="638" spans="1:11" x14ac:dyDescent="0.25">
      <c r="A638" s="6"/>
      <c r="B638" s="6"/>
      <c r="C638" s="6"/>
      <c r="D638" s="6"/>
      <c r="E638" s="6"/>
      <c r="F638" s="6"/>
      <c r="G638" s="6"/>
      <c r="H638" s="6"/>
      <c r="I638" s="6"/>
      <c r="J638" s="6"/>
      <c r="K638" s="6"/>
    </row>
    <row r="639" spans="1:11" x14ac:dyDescent="0.25">
      <c r="A639" s="6"/>
      <c r="B639" s="6"/>
      <c r="C639" s="6"/>
      <c r="D639" s="6"/>
      <c r="E639" s="6"/>
      <c r="F639" s="6"/>
      <c r="G639" s="6"/>
      <c r="H639" s="6"/>
      <c r="I639" s="6"/>
      <c r="J639" s="6"/>
      <c r="K639" s="6"/>
    </row>
    <row r="640" spans="1:11" x14ac:dyDescent="0.25">
      <c r="A640" s="6"/>
      <c r="B640" s="6"/>
      <c r="C640" s="6"/>
      <c r="D640" s="6"/>
      <c r="E640" s="6"/>
      <c r="F640" s="6"/>
      <c r="G640" s="6"/>
      <c r="H640" s="6"/>
      <c r="I640" s="6"/>
      <c r="J640" s="6"/>
      <c r="K640" s="6"/>
    </row>
    <row r="641" spans="1:11" x14ac:dyDescent="0.25">
      <c r="A641" s="6"/>
      <c r="B641" s="6"/>
      <c r="C641" s="6"/>
      <c r="D641" s="6"/>
      <c r="E641" s="6"/>
      <c r="F641" s="6"/>
      <c r="G641" s="6"/>
      <c r="H641" s="6"/>
      <c r="I641" s="6"/>
      <c r="J641" s="6"/>
      <c r="K641" s="6"/>
    </row>
    <row r="642" spans="1:11" x14ac:dyDescent="0.25">
      <c r="A642" s="6"/>
      <c r="B642" s="6"/>
      <c r="C642" s="6"/>
      <c r="D642" s="6"/>
      <c r="E642" s="6"/>
      <c r="F642" s="6"/>
      <c r="G642" s="6"/>
      <c r="H642" s="6"/>
      <c r="I642" s="6"/>
      <c r="J642" s="6"/>
      <c r="K642" s="6"/>
    </row>
    <row r="643" spans="1:11" x14ac:dyDescent="0.25">
      <c r="A643" s="6"/>
      <c r="B643" s="6"/>
      <c r="C643" s="6"/>
      <c r="D643" s="6"/>
      <c r="E643" s="6"/>
      <c r="F643" s="6"/>
      <c r="G643" s="6"/>
      <c r="H643" s="6"/>
      <c r="I643" s="6"/>
      <c r="J643" s="6"/>
      <c r="K643" s="6"/>
    </row>
    <row r="644" spans="1:11" x14ac:dyDescent="0.25">
      <c r="A644" s="6"/>
      <c r="B644" s="6"/>
      <c r="C644" s="6"/>
      <c r="D644" s="6"/>
      <c r="E644" s="6"/>
      <c r="F644" s="6"/>
      <c r="G644" s="6"/>
      <c r="H644" s="6"/>
      <c r="I644" s="6"/>
      <c r="J644" s="6"/>
      <c r="K644" s="6"/>
    </row>
    <row r="645" spans="1:11" x14ac:dyDescent="0.25">
      <c r="A645" s="6"/>
      <c r="B645" s="6"/>
      <c r="C645" s="6"/>
      <c r="D645" s="6"/>
      <c r="E645" s="6"/>
      <c r="F645" s="6"/>
      <c r="G645" s="6"/>
      <c r="H645" s="6"/>
      <c r="I645" s="6"/>
      <c r="J645" s="6"/>
      <c r="K645" s="6"/>
    </row>
    <row r="646" spans="1:11" x14ac:dyDescent="0.25">
      <c r="A646" s="6"/>
      <c r="B646" s="6"/>
      <c r="C646" s="6"/>
      <c r="D646" s="6"/>
      <c r="E646" s="6"/>
      <c r="F646" s="6"/>
      <c r="G646" s="6"/>
      <c r="H646" s="6"/>
      <c r="I646" s="6"/>
      <c r="J646" s="6"/>
      <c r="K646" s="6"/>
    </row>
    <row r="647" spans="1:11" x14ac:dyDescent="0.25">
      <c r="A647" s="6"/>
      <c r="B647" s="6"/>
      <c r="C647" s="6"/>
      <c r="D647" s="6"/>
      <c r="E647" s="6"/>
      <c r="F647" s="6"/>
      <c r="G647" s="6"/>
      <c r="H647" s="6"/>
      <c r="I647" s="6"/>
      <c r="J647" s="6"/>
      <c r="K647" s="6"/>
    </row>
    <row r="648" spans="1:11" x14ac:dyDescent="0.25">
      <c r="A648" s="6"/>
      <c r="B648" s="6"/>
      <c r="C648" s="6"/>
      <c r="D648" s="6"/>
      <c r="E648" s="6"/>
      <c r="F648" s="6"/>
      <c r="G648" s="6"/>
      <c r="H648" s="6"/>
      <c r="I648" s="6"/>
      <c r="J648" s="6"/>
      <c r="K648" s="6"/>
    </row>
    <row r="649" spans="1:11" x14ac:dyDescent="0.25">
      <c r="A649" s="6"/>
      <c r="B649" s="6"/>
      <c r="C649" s="6"/>
      <c r="D649" s="6"/>
      <c r="E649" s="6"/>
      <c r="F649" s="6"/>
      <c r="G649" s="6"/>
      <c r="H649" s="6"/>
      <c r="I649" s="6"/>
      <c r="J649" s="6"/>
      <c r="K649" s="6"/>
    </row>
    <row r="650" spans="1:11" x14ac:dyDescent="0.25">
      <c r="A650" s="6"/>
      <c r="B650" s="6"/>
      <c r="C650" s="6"/>
      <c r="D650" s="6"/>
      <c r="E650" s="6"/>
      <c r="F650" s="6"/>
      <c r="G650" s="6"/>
      <c r="H650" s="6"/>
      <c r="I650" s="6"/>
      <c r="J650" s="6"/>
      <c r="K650" s="6"/>
    </row>
    <row r="651" spans="1:11" x14ac:dyDescent="0.25">
      <c r="A651" s="6"/>
      <c r="B651" s="6"/>
      <c r="C651" s="6"/>
      <c r="D651" s="6"/>
      <c r="E651" s="6"/>
      <c r="F651" s="6"/>
      <c r="G651" s="6"/>
      <c r="H651" s="6"/>
      <c r="I651" s="6"/>
      <c r="J651" s="6"/>
      <c r="K651" s="6"/>
    </row>
    <row r="652" spans="1:11" x14ac:dyDescent="0.25">
      <c r="A652" s="6"/>
      <c r="B652" s="6"/>
      <c r="C652" s="6"/>
      <c r="D652" s="6"/>
      <c r="E652" s="6"/>
      <c r="F652" s="6"/>
      <c r="G652" s="6"/>
      <c r="H652" s="6"/>
      <c r="I652" s="6"/>
      <c r="J652" s="6"/>
      <c r="K652" s="6"/>
    </row>
    <row r="653" spans="1:11" x14ac:dyDescent="0.25">
      <c r="A653" s="6"/>
      <c r="B653" s="6"/>
      <c r="C653" s="6"/>
      <c r="D653" s="6"/>
      <c r="E653" s="6"/>
      <c r="F653" s="6"/>
      <c r="G653" s="6"/>
      <c r="H653" s="6"/>
      <c r="I653" s="6"/>
      <c r="J653" s="6"/>
      <c r="K653" s="6"/>
    </row>
    <row r="654" spans="1:11" x14ac:dyDescent="0.25">
      <c r="A654" s="6"/>
      <c r="B654" s="6"/>
      <c r="C654" s="6"/>
      <c r="D654" s="6"/>
      <c r="E654" s="6"/>
      <c r="F654" s="6"/>
      <c r="G654" s="6"/>
      <c r="H654" s="6"/>
      <c r="I654" s="6"/>
      <c r="J654" s="6"/>
      <c r="K654" s="6"/>
    </row>
    <row r="655" spans="1:11" x14ac:dyDescent="0.25">
      <c r="A655" s="6"/>
      <c r="B655" s="6"/>
      <c r="C655" s="6"/>
      <c r="D655" s="6"/>
      <c r="E655" s="6"/>
      <c r="F655" s="6"/>
      <c r="G655" s="6"/>
      <c r="H655" s="6"/>
      <c r="I655" s="6"/>
      <c r="J655" s="6"/>
      <c r="K655" s="6"/>
    </row>
    <row r="656" spans="1:11" x14ac:dyDescent="0.25">
      <c r="A656" s="6"/>
      <c r="B656" s="6"/>
      <c r="C656" s="6"/>
      <c r="D656" s="6"/>
      <c r="E656" s="6"/>
      <c r="F656" s="6"/>
      <c r="G656" s="6"/>
      <c r="H656" s="6"/>
      <c r="I656" s="6"/>
      <c r="J656" s="6"/>
      <c r="K656" s="6"/>
    </row>
    <row r="657" spans="1:11" x14ac:dyDescent="0.25">
      <c r="A657" s="6"/>
      <c r="B657" s="6"/>
      <c r="C657" s="6"/>
      <c r="D657" s="6"/>
      <c r="E657" s="6"/>
      <c r="F657" s="6"/>
      <c r="G657" s="6"/>
      <c r="H657" s="6"/>
      <c r="I657" s="6"/>
      <c r="J657" s="6"/>
      <c r="K657" s="6"/>
    </row>
    <row r="658" spans="1:11" x14ac:dyDescent="0.25">
      <c r="A658" s="6"/>
      <c r="B658" s="6"/>
      <c r="C658" s="6"/>
      <c r="D658" s="6"/>
      <c r="E658" s="6"/>
      <c r="F658" s="6"/>
      <c r="G658" s="6"/>
      <c r="H658" s="6"/>
      <c r="I658" s="6"/>
      <c r="J658" s="6"/>
      <c r="K658" s="6"/>
    </row>
    <row r="659" spans="1:11" x14ac:dyDescent="0.25">
      <c r="A659" s="6"/>
      <c r="B659" s="6"/>
      <c r="C659" s="6"/>
      <c r="D659" s="6"/>
      <c r="E659" s="6"/>
      <c r="F659" s="6"/>
      <c r="G659" s="6"/>
      <c r="H659" s="6"/>
      <c r="I659" s="6"/>
      <c r="J659" s="6"/>
      <c r="K659" s="6"/>
    </row>
    <row r="660" spans="1:11" x14ac:dyDescent="0.25">
      <c r="A660" s="6"/>
      <c r="B660" s="6"/>
      <c r="C660" s="6"/>
      <c r="D660" s="6"/>
      <c r="E660" s="6"/>
      <c r="F660" s="6"/>
      <c r="G660" s="6"/>
      <c r="H660" s="6"/>
      <c r="I660" s="6"/>
      <c r="J660" s="6"/>
      <c r="K660" s="6"/>
    </row>
    <row r="661" spans="1:11" x14ac:dyDescent="0.25">
      <c r="A661" s="6"/>
      <c r="B661" s="6"/>
      <c r="C661" s="6"/>
      <c r="D661" s="6"/>
      <c r="E661" s="6"/>
      <c r="F661" s="6"/>
      <c r="G661" s="6"/>
      <c r="H661" s="6"/>
      <c r="I661" s="6"/>
      <c r="J661" s="6"/>
      <c r="K661" s="6"/>
    </row>
    <row r="662" spans="1:11" x14ac:dyDescent="0.25">
      <c r="A662" s="6"/>
      <c r="B662" s="6"/>
      <c r="C662" s="6"/>
      <c r="D662" s="6"/>
      <c r="E662" s="6"/>
      <c r="F662" s="6"/>
      <c r="G662" s="6"/>
      <c r="H662" s="6"/>
      <c r="I662" s="6"/>
      <c r="J662" s="6"/>
      <c r="K662" s="6"/>
    </row>
    <row r="663" spans="1:11" x14ac:dyDescent="0.25">
      <c r="A663" s="6"/>
      <c r="B663" s="6"/>
      <c r="C663" s="6"/>
      <c r="D663" s="6"/>
      <c r="E663" s="6"/>
      <c r="F663" s="6"/>
      <c r="G663" s="6"/>
      <c r="H663" s="6"/>
      <c r="I663" s="6"/>
      <c r="J663" s="6"/>
      <c r="K663" s="6"/>
    </row>
    <row r="664" spans="1:11" x14ac:dyDescent="0.25">
      <c r="A664" s="6"/>
      <c r="B664" s="6"/>
      <c r="C664" s="6"/>
      <c r="D664" s="6"/>
      <c r="E664" s="6"/>
      <c r="F664" s="6"/>
      <c r="G664" s="6"/>
      <c r="H664" s="6"/>
      <c r="I664" s="6"/>
      <c r="J664" s="6"/>
      <c r="K664" s="6"/>
    </row>
    <row r="665" spans="1:11" x14ac:dyDescent="0.25">
      <c r="A665" s="6"/>
      <c r="B665" s="6"/>
      <c r="C665" s="6"/>
      <c r="D665" s="6"/>
      <c r="E665" s="6"/>
      <c r="F665" s="6"/>
      <c r="G665" s="6"/>
      <c r="H665" s="6"/>
      <c r="I665" s="6"/>
      <c r="J665" s="6"/>
      <c r="K665" s="6"/>
    </row>
    <row r="666" spans="1:11" x14ac:dyDescent="0.25">
      <c r="A666" s="6"/>
      <c r="B666" s="6"/>
      <c r="C666" s="6"/>
      <c r="D666" s="6"/>
      <c r="E666" s="6"/>
      <c r="F666" s="6"/>
      <c r="G666" s="6"/>
      <c r="H666" s="6"/>
      <c r="I666" s="6"/>
      <c r="J666" s="6"/>
      <c r="K666" s="6"/>
    </row>
    <row r="667" spans="1:11" x14ac:dyDescent="0.25">
      <c r="A667" s="6"/>
      <c r="B667" s="6"/>
      <c r="C667" s="6"/>
      <c r="D667" s="6"/>
      <c r="E667" s="6"/>
      <c r="F667" s="6"/>
      <c r="G667" s="6"/>
      <c r="H667" s="6"/>
      <c r="I667" s="6"/>
      <c r="J667" s="6"/>
      <c r="K667" s="6"/>
    </row>
    <row r="668" spans="1:11" x14ac:dyDescent="0.25">
      <c r="A668" s="6"/>
      <c r="B668" s="6"/>
      <c r="C668" s="6"/>
      <c r="D668" s="6"/>
      <c r="E668" s="6"/>
      <c r="F668" s="6"/>
      <c r="G668" s="6"/>
      <c r="H668" s="6"/>
      <c r="I668" s="6"/>
      <c r="J668" s="6"/>
      <c r="K668" s="6"/>
    </row>
    <row r="669" spans="1:11" x14ac:dyDescent="0.25">
      <c r="A669" s="6"/>
      <c r="B669" s="6"/>
      <c r="C669" s="6"/>
      <c r="D669" s="6"/>
      <c r="E669" s="6"/>
      <c r="F669" s="6"/>
      <c r="G669" s="6"/>
      <c r="H669" s="6"/>
      <c r="I669" s="6"/>
      <c r="J669" s="6"/>
      <c r="K669" s="6"/>
    </row>
    <row r="670" spans="1:11" x14ac:dyDescent="0.25">
      <c r="A670" s="6"/>
      <c r="B670" s="6"/>
      <c r="C670" s="6"/>
      <c r="D670" s="6"/>
      <c r="E670" s="6"/>
      <c r="F670" s="6"/>
      <c r="G670" s="6"/>
      <c r="H670" s="6"/>
      <c r="I670" s="6"/>
      <c r="J670" s="6"/>
      <c r="K670" s="6"/>
    </row>
    <row r="671" spans="1:11" x14ac:dyDescent="0.25">
      <c r="A671" s="6"/>
      <c r="B671" s="6"/>
      <c r="C671" s="6"/>
      <c r="D671" s="6"/>
      <c r="E671" s="6"/>
      <c r="F671" s="6"/>
      <c r="G671" s="6"/>
      <c r="H671" s="6"/>
      <c r="I671" s="6"/>
      <c r="J671" s="6"/>
      <c r="K671" s="6"/>
    </row>
    <row r="672" spans="1:11" x14ac:dyDescent="0.25">
      <c r="A672" s="6"/>
      <c r="B672" s="6"/>
      <c r="C672" s="6"/>
      <c r="D672" s="6"/>
      <c r="E672" s="6"/>
      <c r="F672" s="6"/>
      <c r="G672" s="6"/>
      <c r="H672" s="6"/>
      <c r="I672" s="6"/>
      <c r="J672" s="6"/>
      <c r="K672" s="6"/>
    </row>
    <row r="673" spans="1:11" x14ac:dyDescent="0.25">
      <c r="A673" s="6"/>
      <c r="B673" s="6"/>
      <c r="C673" s="6"/>
      <c r="D673" s="6"/>
      <c r="E673" s="6"/>
      <c r="F673" s="6"/>
      <c r="G673" s="6"/>
      <c r="H673" s="6"/>
      <c r="I673" s="6"/>
      <c r="J673" s="6"/>
      <c r="K673" s="6"/>
    </row>
    <row r="674" spans="1:11" x14ac:dyDescent="0.25">
      <c r="A674" s="6"/>
      <c r="B674" s="6"/>
      <c r="C674" s="6"/>
      <c r="D674" s="6"/>
      <c r="E674" s="6"/>
      <c r="F674" s="6"/>
      <c r="G674" s="6"/>
      <c r="H674" s="6"/>
      <c r="I674" s="6"/>
      <c r="J674" s="6"/>
      <c r="K674" s="6"/>
    </row>
    <row r="675" spans="1:11" x14ac:dyDescent="0.25">
      <c r="A675" s="6"/>
      <c r="B675" s="6"/>
      <c r="C675" s="6"/>
      <c r="D675" s="6"/>
      <c r="E675" s="6"/>
      <c r="F675" s="6"/>
      <c r="G675" s="6"/>
      <c r="H675" s="6"/>
      <c r="I675" s="6"/>
      <c r="J675" s="6"/>
      <c r="K675" s="6"/>
    </row>
    <row r="676" spans="1:11" x14ac:dyDescent="0.25">
      <c r="A676" s="6"/>
      <c r="B676" s="6"/>
      <c r="C676" s="6"/>
      <c r="D676" s="6"/>
      <c r="E676" s="6"/>
      <c r="F676" s="6"/>
      <c r="G676" s="6"/>
      <c r="H676" s="6"/>
      <c r="I676" s="6"/>
      <c r="J676" s="6"/>
      <c r="K676" s="6"/>
    </row>
    <row r="677" spans="1:11" x14ac:dyDescent="0.25">
      <c r="A677" s="6"/>
      <c r="B677" s="6"/>
      <c r="C677" s="6"/>
      <c r="D677" s="6"/>
      <c r="E677" s="6"/>
      <c r="F677" s="6"/>
      <c r="G677" s="6"/>
      <c r="H677" s="6"/>
      <c r="I677" s="6"/>
      <c r="J677" s="6"/>
      <c r="K677" s="6"/>
    </row>
    <row r="678" spans="1:11" x14ac:dyDescent="0.25">
      <c r="A678" s="6"/>
      <c r="B678" s="6"/>
      <c r="C678" s="6"/>
      <c r="D678" s="6"/>
      <c r="E678" s="6"/>
      <c r="F678" s="6"/>
      <c r="G678" s="6"/>
      <c r="H678" s="6"/>
      <c r="I678" s="6"/>
      <c r="J678" s="6"/>
      <c r="K678" s="6"/>
    </row>
    <row r="679" spans="1:11" x14ac:dyDescent="0.25">
      <c r="A679" s="6"/>
      <c r="B679" s="6"/>
      <c r="C679" s="6"/>
      <c r="D679" s="6"/>
      <c r="E679" s="6"/>
      <c r="F679" s="6"/>
      <c r="G679" s="6"/>
      <c r="H679" s="6"/>
      <c r="I679" s="6"/>
      <c r="J679" s="6"/>
      <c r="K679" s="6"/>
    </row>
    <row r="680" spans="1:11" x14ac:dyDescent="0.25">
      <c r="A680" s="6"/>
      <c r="B680" s="6"/>
      <c r="C680" s="6"/>
      <c r="D680" s="6"/>
      <c r="E680" s="6"/>
      <c r="F680" s="6"/>
      <c r="G680" s="6"/>
      <c r="H680" s="6"/>
      <c r="I680" s="6"/>
      <c r="J680" s="6"/>
      <c r="K680" s="6"/>
    </row>
    <row r="681" spans="1:11" x14ac:dyDescent="0.25">
      <c r="A681" s="6"/>
      <c r="B681" s="6"/>
      <c r="C681" s="6"/>
      <c r="D681" s="6"/>
      <c r="E681" s="6"/>
      <c r="F681" s="6"/>
      <c r="G681" s="6"/>
      <c r="H681" s="6"/>
      <c r="I681" s="6"/>
      <c r="J681" s="6"/>
      <c r="K681" s="6"/>
    </row>
    <row r="682" spans="1:11" x14ac:dyDescent="0.25">
      <c r="A682" s="6"/>
      <c r="B682" s="6"/>
      <c r="C682" s="6"/>
      <c r="D682" s="6"/>
      <c r="E682" s="6"/>
      <c r="F682" s="6"/>
      <c r="G682" s="6"/>
      <c r="H682" s="6"/>
      <c r="I682" s="6"/>
      <c r="J682" s="6"/>
      <c r="K682" s="6"/>
    </row>
    <row r="683" spans="1:11" x14ac:dyDescent="0.25">
      <c r="A683" s="6"/>
      <c r="B683" s="6"/>
      <c r="C683" s="6"/>
      <c r="D683" s="6"/>
      <c r="E683" s="6"/>
      <c r="F683" s="6"/>
      <c r="G683" s="6"/>
      <c r="H683" s="6"/>
      <c r="I683" s="6"/>
      <c r="J683" s="6"/>
      <c r="K683" s="6"/>
    </row>
    <row r="684" spans="1:11" x14ac:dyDescent="0.25">
      <c r="A684" s="6"/>
      <c r="B684" s="6"/>
      <c r="C684" s="6"/>
      <c r="D684" s="6"/>
      <c r="E684" s="6"/>
      <c r="F684" s="6"/>
      <c r="G684" s="6"/>
      <c r="H684" s="6"/>
      <c r="I684" s="6"/>
      <c r="J684" s="6"/>
      <c r="K684" s="6"/>
    </row>
    <row r="685" spans="1:11" x14ac:dyDescent="0.25">
      <c r="A685" s="6"/>
      <c r="B685" s="6"/>
      <c r="C685" s="6"/>
      <c r="D685" s="6"/>
      <c r="E685" s="6"/>
      <c r="F685" s="6"/>
      <c r="G685" s="6"/>
      <c r="H685" s="6"/>
      <c r="I685" s="6"/>
      <c r="J685" s="6"/>
      <c r="K685" s="6"/>
    </row>
    <row r="686" spans="1:11" x14ac:dyDescent="0.25">
      <c r="A686" s="6"/>
      <c r="B686" s="6"/>
      <c r="C686" s="6"/>
      <c r="D686" s="6"/>
      <c r="E686" s="6"/>
      <c r="F686" s="6"/>
      <c r="G686" s="6"/>
      <c r="H686" s="6"/>
      <c r="I686" s="6"/>
      <c r="J686" s="6"/>
      <c r="K686" s="6"/>
    </row>
    <row r="687" spans="1:11" x14ac:dyDescent="0.25">
      <c r="A687" s="6"/>
      <c r="B687" s="6"/>
      <c r="C687" s="6"/>
      <c r="D687" s="6"/>
      <c r="E687" s="6"/>
      <c r="F687" s="6"/>
      <c r="G687" s="6"/>
      <c r="H687" s="6"/>
      <c r="I687" s="6"/>
      <c r="J687" s="6"/>
      <c r="K687" s="6"/>
    </row>
    <row r="688" spans="1:11" x14ac:dyDescent="0.25">
      <c r="A688" s="6"/>
      <c r="B688" s="6"/>
      <c r="C688" s="6"/>
      <c r="D688" s="6"/>
      <c r="E688" s="6"/>
      <c r="F688" s="6"/>
      <c r="G688" s="6"/>
      <c r="H688" s="6"/>
      <c r="I688" s="6"/>
      <c r="J688" s="6"/>
      <c r="K688" s="6"/>
    </row>
    <row r="689" spans="1:11" x14ac:dyDescent="0.25">
      <c r="A689" s="6"/>
      <c r="B689" s="6"/>
      <c r="C689" s="6"/>
      <c r="D689" s="6"/>
      <c r="E689" s="6"/>
      <c r="F689" s="6"/>
      <c r="G689" s="6"/>
      <c r="H689" s="6"/>
      <c r="I689" s="6"/>
      <c r="J689" s="6"/>
      <c r="K689" s="6"/>
    </row>
    <row r="690" spans="1:11" x14ac:dyDescent="0.25">
      <c r="A690" s="6"/>
      <c r="B690" s="6"/>
      <c r="C690" s="6"/>
      <c r="D690" s="6"/>
      <c r="E690" s="6"/>
      <c r="F690" s="6"/>
      <c r="G690" s="6"/>
      <c r="H690" s="6"/>
      <c r="I690" s="6"/>
      <c r="J690" s="6"/>
      <c r="K690" s="6"/>
    </row>
    <row r="691" spans="1:11" x14ac:dyDescent="0.25">
      <c r="A691" s="6"/>
      <c r="B691" s="6"/>
      <c r="C691" s="6"/>
      <c r="D691" s="6"/>
      <c r="E691" s="6"/>
      <c r="F691" s="6"/>
      <c r="G691" s="6"/>
      <c r="H691" s="6"/>
      <c r="I691" s="6"/>
      <c r="J691" s="6"/>
      <c r="K691" s="6"/>
    </row>
    <row r="692" spans="1:11" x14ac:dyDescent="0.25">
      <c r="A692" s="6"/>
      <c r="B692" s="6"/>
      <c r="C692" s="6"/>
      <c r="D692" s="6"/>
      <c r="E692" s="6"/>
      <c r="F692" s="6"/>
      <c r="G692" s="6"/>
      <c r="H692" s="6"/>
      <c r="I692" s="6"/>
      <c r="J692" s="6"/>
      <c r="K692" s="6"/>
    </row>
    <row r="693" spans="1:11" x14ac:dyDescent="0.25">
      <c r="A693" s="6"/>
      <c r="B693" s="6"/>
      <c r="C693" s="6"/>
      <c r="D693" s="6"/>
      <c r="E693" s="6"/>
      <c r="F693" s="6"/>
      <c r="G693" s="6"/>
      <c r="H693" s="6"/>
      <c r="I693" s="6"/>
      <c r="J693" s="6"/>
      <c r="K693" s="6"/>
    </row>
    <row r="694" spans="1:11" x14ac:dyDescent="0.25">
      <c r="A694" s="6"/>
      <c r="B694" s="6"/>
      <c r="C694" s="6"/>
      <c r="D694" s="6"/>
      <c r="E694" s="6"/>
      <c r="F694" s="6"/>
      <c r="G694" s="6"/>
      <c r="H694" s="6"/>
      <c r="I694" s="6"/>
      <c r="J694" s="6"/>
      <c r="K694" s="6"/>
    </row>
    <row r="695" spans="1:11" x14ac:dyDescent="0.25">
      <c r="A695" s="6"/>
      <c r="B695" s="6"/>
      <c r="C695" s="6"/>
      <c r="D695" s="6"/>
      <c r="E695" s="6"/>
      <c r="F695" s="6"/>
      <c r="G695" s="6"/>
      <c r="H695" s="6"/>
      <c r="I695" s="6"/>
      <c r="J695" s="6"/>
      <c r="K695" s="6"/>
    </row>
    <row r="696" spans="1:11" x14ac:dyDescent="0.25">
      <c r="A696" s="6"/>
      <c r="B696" s="6"/>
      <c r="C696" s="6"/>
      <c r="D696" s="6"/>
      <c r="E696" s="6"/>
      <c r="F696" s="6"/>
      <c r="G696" s="6"/>
      <c r="H696" s="6"/>
      <c r="I696" s="6"/>
      <c r="J696" s="6"/>
      <c r="K696" s="6"/>
    </row>
    <row r="697" spans="1:11" x14ac:dyDescent="0.25">
      <c r="A697" s="6"/>
      <c r="B697" s="6"/>
      <c r="C697" s="6"/>
      <c r="D697" s="6"/>
      <c r="E697" s="6"/>
      <c r="F697" s="6"/>
      <c r="G697" s="6"/>
      <c r="H697" s="6"/>
      <c r="I697" s="6"/>
      <c r="J697" s="6"/>
      <c r="K697" s="6"/>
    </row>
    <row r="698" spans="1:11" x14ac:dyDescent="0.25">
      <c r="A698" s="6"/>
      <c r="B698" s="6"/>
      <c r="C698" s="6"/>
      <c r="D698" s="6"/>
      <c r="E698" s="6"/>
      <c r="F698" s="6"/>
      <c r="G698" s="6"/>
      <c r="H698" s="6"/>
      <c r="I698" s="6"/>
      <c r="J698" s="6"/>
      <c r="K698" s="6"/>
    </row>
    <row r="699" spans="1:11" x14ac:dyDescent="0.25">
      <c r="A699" s="6"/>
      <c r="B699" s="6"/>
      <c r="C699" s="6"/>
      <c r="D699" s="6"/>
      <c r="E699" s="6"/>
      <c r="F699" s="6"/>
      <c r="G699" s="6"/>
      <c r="H699" s="6"/>
      <c r="I699" s="6"/>
      <c r="J699" s="6"/>
      <c r="K699" s="6"/>
    </row>
    <row r="700" spans="1:11" x14ac:dyDescent="0.25">
      <c r="A700" s="6"/>
      <c r="B700" s="6"/>
      <c r="C700" s="6"/>
      <c r="D700" s="6"/>
      <c r="E700" s="6"/>
      <c r="F700" s="6"/>
      <c r="G700" s="6"/>
      <c r="H700" s="6"/>
      <c r="I700" s="6"/>
      <c r="J700" s="6"/>
      <c r="K700" s="6"/>
    </row>
    <row r="701" spans="1:11" x14ac:dyDescent="0.25">
      <c r="A701" s="6"/>
      <c r="B701" s="6"/>
      <c r="C701" s="6"/>
      <c r="D701" s="6"/>
      <c r="E701" s="6"/>
      <c r="F701" s="6"/>
      <c r="G701" s="6"/>
      <c r="H701" s="6"/>
      <c r="I701" s="6"/>
      <c r="J701" s="6"/>
      <c r="K701" s="6"/>
    </row>
    <row r="702" spans="1:11" x14ac:dyDescent="0.25">
      <c r="A702" s="6"/>
      <c r="B702" s="6"/>
      <c r="C702" s="6"/>
      <c r="D702" s="6"/>
      <c r="E702" s="6"/>
      <c r="F702" s="6"/>
      <c r="G702" s="6"/>
      <c r="H702" s="6"/>
      <c r="I702" s="6"/>
      <c r="J702" s="6"/>
      <c r="K702" s="6"/>
    </row>
    <row r="703" spans="1:11" x14ac:dyDescent="0.25">
      <c r="A703" s="6"/>
      <c r="B703" s="6"/>
      <c r="C703" s="6"/>
      <c r="D703" s="6"/>
      <c r="E703" s="6"/>
      <c r="F703" s="6"/>
      <c r="G703" s="6"/>
      <c r="H703" s="6"/>
      <c r="I703" s="6"/>
      <c r="J703" s="6"/>
      <c r="K703" s="6"/>
    </row>
    <row r="704" spans="1:11" x14ac:dyDescent="0.25">
      <c r="A704" s="6"/>
      <c r="B704" s="6"/>
      <c r="C704" s="6"/>
      <c r="D704" s="6"/>
      <c r="E704" s="6"/>
      <c r="F704" s="6"/>
      <c r="G704" s="6"/>
      <c r="H704" s="6"/>
      <c r="I704" s="6"/>
      <c r="J704" s="6"/>
      <c r="K704" s="6"/>
    </row>
    <row r="705" spans="1:11" x14ac:dyDescent="0.25">
      <c r="A705" s="6"/>
      <c r="B705" s="6"/>
      <c r="C705" s="6"/>
      <c r="D705" s="6"/>
      <c r="E705" s="6"/>
      <c r="F705" s="6"/>
      <c r="G705" s="6"/>
      <c r="H705" s="6"/>
      <c r="I705" s="6"/>
      <c r="J705" s="6"/>
      <c r="K705" s="6"/>
    </row>
    <row r="706" spans="1:11" x14ac:dyDescent="0.25">
      <c r="A706" s="6"/>
      <c r="B706" s="6"/>
      <c r="C706" s="6"/>
      <c r="D706" s="6"/>
      <c r="E706" s="6"/>
      <c r="F706" s="6"/>
      <c r="G706" s="6"/>
      <c r="H706" s="6"/>
      <c r="I706" s="6"/>
      <c r="J706" s="6"/>
      <c r="K706" s="6"/>
    </row>
    <row r="707" spans="1:11" x14ac:dyDescent="0.25">
      <c r="A707" s="6"/>
      <c r="B707" s="6"/>
      <c r="C707" s="6"/>
      <c r="D707" s="6"/>
      <c r="E707" s="6"/>
      <c r="F707" s="6"/>
      <c r="G707" s="6"/>
      <c r="H707" s="6"/>
      <c r="I707" s="6"/>
      <c r="J707" s="6"/>
      <c r="K707" s="6"/>
    </row>
    <row r="708" spans="1:11" x14ac:dyDescent="0.25">
      <c r="A708" s="6"/>
      <c r="B708" s="6"/>
      <c r="C708" s="6"/>
      <c r="D708" s="6"/>
      <c r="E708" s="6"/>
      <c r="F708" s="6"/>
      <c r="G708" s="6"/>
      <c r="H708" s="6"/>
      <c r="I708" s="6"/>
      <c r="J708" s="6"/>
      <c r="K708" s="6"/>
    </row>
    <row r="709" spans="1:11" x14ac:dyDescent="0.25">
      <c r="A709" s="6"/>
      <c r="B709" s="6"/>
      <c r="C709" s="6"/>
      <c r="D709" s="6"/>
      <c r="E709" s="6"/>
      <c r="F709" s="6"/>
      <c r="G709" s="6"/>
      <c r="H709" s="6"/>
      <c r="I709" s="6"/>
      <c r="J709" s="6"/>
      <c r="K709" s="6"/>
    </row>
    <row r="710" spans="1:11" x14ac:dyDescent="0.25">
      <c r="A710" s="6"/>
      <c r="B710" s="6"/>
      <c r="C710" s="6"/>
      <c r="D710" s="6"/>
      <c r="E710" s="6"/>
      <c r="F710" s="6"/>
      <c r="G710" s="6"/>
      <c r="H710" s="6"/>
      <c r="I710" s="6"/>
      <c r="J710" s="6"/>
      <c r="K710" s="6"/>
    </row>
    <row r="711" spans="1:11" x14ac:dyDescent="0.25">
      <c r="A711" s="6"/>
      <c r="B711" s="6"/>
      <c r="C711" s="6"/>
      <c r="D711" s="6"/>
      <c r="E711" s="6"/>
      <c r="F711" s="6"/>
      <c r="G711" s="6"/>
      <c r="H711" s="6"/>
      <c r="I711" s="6"/>
      <c r="J711" s="6"/>
      <c r="K711" s="6"/>
    </row>
    <row r="712" spans="1:11" x14ac:dyDescent="0.25">
      <c r="A712" s="6"/>
      <c r="B712" s="6"/>
      <c r="C712" s="6"/>
      <c r="D712" s="6"/>
      <c r="E712" s="6"/>
      <c r="F712" s="6"/>
      <c r="G712" s="6"/>
      <c r="H712" s="6"/>
      <c r="I712" s="6"/>
      <c r="J712" s="6"/>
      <c r="K712" s="6"/>
    </row>
    <row r="713" spans="1:11" x14ac:dyDescent="0.25">
      <c r="A713" s="6"/>
      <c r="B713" s="6"/>
      <c r="C713" s="6"/>
      <c r="D713" s="6"/>
      <c r="E713" s="6"/>
      <c r="F713" s="6"/>
      <c r="G713" s="6"/>
      <c r="H713" s="6"/>
      <c r="I713" s="6"/>
      <c r="J713" s="6"/>
      <c r="K713" s="6"/>
    </row>
    <row r="714" spans="1:11" x14ac:dyDescent="0.25">
      <c r="A714" s="6"/>
      <c r="B714" s="6"/>
      <c r="C714" s="6"/>
      <c r="D714" s="6"/>
      <c r="E714" s="6"/>
      <c r="F714" s="6"/>
      <c r="G714" s="6"/>
      <c r="H714" s="6"/>
      <c r="I714" s="6"/>
      <c r="J714" s="6"/>
      <c r="K714" s="6"/>
    </row>
    <row r="715" spans="1:11" x14ac:dyDescent="0.25">
      <c r="A715" s="6"/>
      <c r="B715" s="6"/>
      <c r="C715" s="6"/>
      <c r="D715" s="6"/>
      <c r="E715" s="6"/>
      <c r="F715" s="6"/>
      <c r="G715" s="6"/>
      <c r="H715" s="6"/>
      <c r="I715" s="6"/>
      <c r="J715" s="6"/>
      <c r="K715" s="6"/>
    </row>
    <row r="716" spans="1:11" x14ac:dyDescent="0.25">
      <c r="A716" s="6"/>
      <c r="B716" s="6"/>
      <c r="C716" s="6"/>
      <c r="D716" s="6"/>
      <c r="E716" s="6"/>
      <c r="F716" s="6"/>
      <c r="G716" s="6"/>
      <c r="H716" s="6"/>
      <c r="I716" s="6"/>
      <c r="J716" s="6"/>
      <c r="K716" s="6"/>
    </row>
    <row r="717" spans="1:11" x14ac:dyDescent="0.25">
      <c r="A717" s="6"/>
      <c r="B717" s="6"/>
      <c r="C717" s="6"/>
      <c r="D717" s="6"/>
      <c r="E717" s="6"/>
      <c r="F717" s="6"/>
      <c r="G717" s="6"/>
      <c r="H717" s="6"/>
      <c r="I717" s="6"/>
      <c r="J717" s="6"/>
      <c r="K717" s="6"/>
    </row>
    <row r="718" spans="1:11" x14ac:dyDescent="0.25">
      <c r="A718" s="6"/>
      <c r="B718" s="6"/>
      <c r="C718" s="6"/>
      <c r="D718" s="6"/>
      <c r="E718" s="6"/>
      <c r="F718" s="6"/>
      <c r="G718" s="6"/>
      <c r="H718" s="6"/>
      <c r="I718" s="6"/>
      <c r="J718" s="6"/>
      <c r="K718" s="6"/>
    </row>
    <row r="719" spans="1:11" x14ac:dyDescent="0.25">
      <c r="A719" s="6"/>
      <c r="B719" s="6"/>
      <c r="C719" s="6"/>
      <c r="D719" s="6"/>
      <c r="E719" s="6"/>
      <c r="F719" s="6"/>
      <c r="G719" s="6"/>
      <c r="H719" s="6"/>
      <c r="I719" s="6"/>
      <c r="J719" s="6"/>
      <c r="K719" s="6"/>
    </row>
    <row r="720" spans="1:11" x14ac:dyDescent="0.25">
      <c r="A720" s="6"/>
      <c r="B720" s="6"/>
      <c r="C720" s="6"/>
      <c r="D720" s="6"/>
      <c r="E720" s="6"/>
      <c r="F720" s="6"/>
      <c r="G720" s="6"/>
      <c r="H720" s="6"/>
      <c r="I720" s="6"/>
      <c r="J720" s="6"/>
      <c r="K720" s="6"/>
    </row>
    <row r="721" spans="1:11" x14ac:dyDescent="0.25">
      <c r="A721" s="6"/>
      <c r="B721" s="6"/>
      <c r="C721" s="6"/>
      <c r="D721" s="6"/>
      <c r="E721" s="6"/>
      <c r="F721" s="6"/>
      <c r="G721" s="6"/>
      <c r="H721" s="6"/>
      <c r="I721" s="6"/>
      <c r="J721" s="6"/>
      <c r="K721" s="6"/>
    </row>
    <row r="722" spans="1:11" x14ac:dyDescent="0.25">
      <c r="A722" s="6"/>
      <c r="B722" s="6"/>
      <c r="C722" s="6"/>
      <c r="D722" s="6"/>
      <c r="E722" s="6"/>
      <c r="F722" s="6"/>
      <c r="G722" s="6"/>
      <c r="H722" s="6"/>
      <c r="I722" s="6"/>
      <c r="J722" s="6"/>
      <c r="K722" s="6"/>
    </row>
    <row r="723" spans="1:11" x14ac:dyDescent="0.25">
      <c r="A723" s="6"/>
      <c r="B723" s="6"/>
      <c r="C723" s="6"/>
      <c r="D723" s="6"/>
      <c r="E723" s="6"/>
      <c r="F723" s="6"/>
      <c r="G723" s="6"/>
      <c r="H723" s="6"/>
      <c r="I723" s="6"/>
      <c r="J723" s="6"/>
      <c r="K723" s="6"/>
    </row>
    <row r="724" spans="1:11" x14ac:dyDescent="0.25">
      <c r="A724" s="6"/>
      <c r="B724" s="6"/>
      <c r="C724" s="6"/>
      <c r="D724" s="6"/>
      <c r="E724" s="6"/>
      <c r="F724" s="6"/>
      <c r="G724" s="6"/>
      <c r="H724" s="6"/>
      <c r="I724" s="6"/>
      <c r="J724" s="6"/>
      <c r="K724" s="6"/>
    </row>
    <row r="725" spans="1:11" x14ac:dyDescent="0.25">
      <c r="A725" s="6"/>
      <c r="B725" s="6"/>
      <c r="C725" s="6"/>
      <c r="D725" s="6"/>
      <c r="E725" s="6"/>
      <c r="F725" s="6"/>
      <c r="G725" s="6"/>
      <c r="H725" s="6"/>
      <c r="I725" s="6"/>
      <c r="J725" s="6"/>
      <c r="K725" s="6"/>
    </row>
    <row r="726" spans="1:11" x14ac:dyDescent="0.25">
      <c r="A726" s="6"/>
      <c r="B726" s="6"/>
      <c r="C726" s="6"/>
      <c r="D726" s="6"/>
      <c r="E726" s="6"/>
      <c r="F726" s="6"/>
      <c r="G726" s="6"/>
      <c r="H726" s="6"/>
      <c r="I726" s="6"/>
      <c r="J726" s="6"/>
      <c r="K726" s="6"/>
    </row>
    <row r="727" spans="1:11" x14ac:dyDescent="0.25">
      <c r="A727" s="6"/>
      <c r="B727" s="6"/>
      <c r="C727" s="6"/>
      <c r="D727" s="6"/>
      <c r="E727" s="6"/>
      <c r="F727" s="6"/>
      <c r="G727" s="6"/>
      <c r="H727" s="6"/>
      <c r="I727" s="6"/>
      <c r="J727" s="6"/>
      <c r="K727" s="6"/>
    </row>
    <row r="728" spans="1:11" x14ac:dyDescent="0.25">
      <c r="A728" s="6"/>
      <c r="B728" s="6"/>
      <c r="C728" s="6"/>
      <c r="D728" s="6"/>
      <c r="E728" s="6"/>
      <c r="F728" s="6"/>
      <c r="G728" s="6"/>
      <c r="H728" s="6"/>
      <c r="I728" s="6"/>
      <c r="J728" s="6"/>
      <c r="K728" s="6"/>
    </row>
    <row r="729" spans="1:11" x14ac:dyDescent="0.25">
      <c r="A729" s="6"/>
      <c r="B729" s="6"/>
      <c r="C729" s="6"/>
      <c r="D729" s="6"/>
      <c r="E729" s="6"/>
      <c r="F729" s="6"/>
      <c r="G729" s="6"/>
      <c r="H729" s="6"/>
      <c r="I729" s="6"/>
      <c r="J729" s="6"/>
      <c r="K729" s="6"/>
    </row>
    <row r="730" spans="1:11" x14ac:dyDescent="0.25">
      <c r="A730" s="6"/>
      <c r="B730" s="6"/>
      <c r="C730" s="6"/>
      <c r="D730" s="6"/>
      <c r="E730" s="6"/>
      <c r="F730" s="6"/>
      <c r="G730" s="6"/>
      <c r="H730" s="6"/>
      <c r="I730" s="6"/>
      <c r="J730" s="6"/>
      <c r="K730" s="6"/>
    </row>
    <row r="731" spans="1:11" x14ac:dyDescent="0.25">
      <c r="A731" s="6"/>
      <c r="B731" s="6"/>
      <c r="C731" s="6"/>
      <c r="D731" s="6"/>
      <c r="E731" s="6"/>
      <c r="F731" s="6"/>
      <c r="G731" s="6"/>
      <c r="H731" s="6"/>
      <c r="I731" s="6"/>
      <c r="J731" s="6"/>
      <c r="K731" s="6"/>
    </row>
    <row r="732" spans="1:11" x14ac:dyDescent="0.25">
      <c r="A732" s="6"/>
      <c r="B732" s="6"/>
      <c r="C732" s="6"/>
      <c r="D732" s="6"/>
      <c r="E732" s="6"/>
      <c r="F732" s="6"/>
      <c r="G732" s="6"/>
      <c r="H732" s="6"/>
      <c r="I732" s="6"/>
      <c r="J732" s="6"/>
      <c r="K732" s="6"/>
    </row>
    <row r="733" spans="1:11" x14ac:dyDescent="0.25">
      <c r="A733" s="6"/>
      <c r="B733" s="6"/>
      <c r="C733" s="6"/>
      <c r="D733" s="6"/>
      <c r="E733" s="6"/>
      <c r="F733" s="6"/>
      <c r="G733" s="6"/>
      <c r="H733" s="6"/>
      <c r="I733" s="6"/>
      <c r="J733" s="6"/>
      <c r="K733" s="6"/>
    </row>
    <row r="734" spans="1:11" x14ac:dyDescent="0.25">
      <c r="A734" s="6"/>
      <c r="B734" s="6"/>
      <c r="C734" s="6"/>
      <c r="D734" s="6"/>
      <c r="E734" s="6"/>
      <c r="F734" s="6"/>
      <c r="G734" s="6"/>
      <c r="H734" s="6"/>
      <c r="I734" s="6"/>
      <c r="J734" s="6"/>
      <c r="K734" s="6"/>
    </row>
    <row r="735" spans="1:11" x14ac:dyDescent="0.25">
      <c r="A735" s="6"/>
      <c r="B735" s="6"/>
      <c r="C735" s="6"/>
      <c r="D735" s="6"/>
      <c r="E735" s="6"/>
      <c r="F735" s="6"/>
      <c r="G735" s="6"/>
      <c r="H735" s="6"/>
      <c r="I735" s="6"/>
      <c r="J735" s="6"/>
      <c r="K735" s="6"/>
    </row>
    <row r="736" spans="1:11" x14ac:dyDescent="0.25">
      <c r="A736" s="6"/>
      <c r="B736" s="6"/>
      <c r="C736" s="6"/>
      <c r="D736" s="6"/>
      <c r="E736" s="6"/>
      <c r="F736" s="6"/>
      <c r="G736" s="6"/>
      <c r="H736" s="6"/>
      <c r="I736" s="6"/>
      <c r="J736" s="6"/>
      <c r="K736" s="6"/>
    </row>
    <row r="737" spans="1:11" x14ac:dyDescent="0.25">
      <c r="A737" s="6"/>
      <c r="B737" s="6"/>
      <c r="C737" s="6"/>
      <c r="D737" s="6"/>
      <c r="E737" s="6"/>
      <c r="F737" s="6"/>
      <c r="G737" s="6"/>
      <c r="H737" s="6"/>
      <c r="I737" s="6"/>
      <c r="J737" s="6"/>
      <c r="K737" s="6"/>
    </row>
    <row r="738" spans="1:11" x14ac:dyDescent="0.25">
      <c r="A738" s="6"/>
      <c r="B738" s="6"/>
      <c r="C738" s="6"/>
      <c r="D738" s="6"/>
      <c r="E738" s="6"/>
      <c r="F738" s="6"/>
      <c r="G738" s="6"/>
      <c r="H738" s="6"/>
      <c r="I738" s="6"/>
      <c r="J738" s="6"/>
      <c r="K738" s="6"/>
    </row>
    <row r="739" spans="1:11" x14ac:dyDescent="0.25">
      <c r="A739" s="6"/>
      <c r="B739" s="6"/>
      <c r="C739" s="6"/>
      <c r="D739" s="6"/>
      <c r="E739" s="6"/>
      <c r="F739" s="6"/>
      <c r="G739" s="6"/>
      <c r="H739" s="6"/>
      <c r="I739" s="6"/>
      <c r="J739" s="6"/>
      <c r="K739" s="6"/>
    </row>
    <row r="740" spans="1:11" x14ac:dyDescent="0.25">
      <c r="A740" s="6"/>
      <c r="B740" s="6"/>
      <c r="C740" s="6"/>
      <c r="D740" s="6"/>
      <c r="E740" s="6"/>
      <c r="F740" s="6"/>
      <c r="G740" s="6"/>
      <c r="H740" s="6"/>
      <c r="I740" s="6"/>
      <c r="J740" s="6"/>
      <c r="K740" s="6"/>
    </row>
    <row r="741" spans="1:11" x14ac:dyDescent="0.25">
      <c r="A741" s="6"/>
      <c r="B741" s="6"/>
      <c r="C741" s="6"/>
      <c r="D741" s="6"/>
      <c r="E741" s="6"/>
      <c r="F741" s="6"/>
      <c r="G741" s="6"/>
      <c r="H741" s="6"/>
      <c r="I741" s="6"/>
      <c r="J741" s="6"/>
      <c r="K741" s="6"/>
    </row>
    <row r="742" spans="1:11" x14ac:dyDescent="0.25">
      <c r="A742" s="6"/>
      <c r="B742" s="6"/>
      <c r="C742" s="6"/>
      <c r="D742" s="6"/>
      <c r="E742" s="6"/>
      <c r="F742" s="6"/>
      <c r="G742" s="6"/>
      <c r="H742" s="6"/>
      <c r="I742" s="6"/>
      <c r="J742" s="6"/>
      <c r="K742" s="6"/>
    </row>
    <row r="743" spans="1:11" x14ac:dyDescent="0.25">
      <c r="A743" s="6"/>
      <c r="B743" s="6"/>
      <c r="C743" s="6"/>
      <c r="D743" s="6"/>
      <c r="E743" s="6"/>
      <c r="F743" s="6"/>
      <c r="G743" s="6"/>
      <c r="H743" s="6"/>
      <c r="I743" s="6"/>
      <c r="J743" s="6"/>
      <c r="K743" s="6"/>
    </row>
    <row r="744" spans="1:11" x14ac:dyDescent="0.25">
      <c r="A744" s="6"/>
      <c r="B744" s="6"/>
      <c r="C744" s="6"/>
      <c r="D744" s="6"/>
      <c r="E744" s="6"/>
      <c r="F744" s="6"/>
      <c r="G744" s="6"/>
      <c r="H744" s="6"/>
      <c r="I744" s="6"/>
      <c r="J744" s="6"/>
      <c r="K744" s="6"/>
    </row>
    <row r="745" spans="1:11" x14ac:dyDescent="0.25">
      <c r="A745" s="6"/>
      <c r="B745" s="6"/>
      <c r="C745" s="6"/>
      <c r="D745" s="6"/>
      <c r="E745" s="6"/>
      <c r="F745" s="6"/>
      <c r="G745" s="6"/>
      <c r="H745" s="6"/>
      <c r="I745" s="6"/>
      <c r="J745" s="6"/>
      <c r="K745" s="6"/>
    </row>
    <row r="746" spans="1:11" x14ac:dyDescent="0.25">
      <c r="A746" s="6"/>
      <c r="B746" s="6"/>
      <c r="C746" s="6"/>
      <c r="D746" s="6"/>
      <c r="E746" s="6"/>
      <c r="F746" s="6"/>
      <c r="G746" s="6"/>
      <c r="H746" s="6"/>
      <c r="I746" s="6"/>
      <c r="J746" s="6"/>
      <c r="K746" s="6"/>
    </row>
    <row r="747" spans="1:11" x14ac:dyDescent="0.25">
      <c r="A747" s="6"/>
      <c r="B747" s="6"/>
      <c r="C747" s="6"/>
      <c r="D747" s="6"/>
      <c r="E747" s="6"/>
      <c r="F747" s="6"/>
      <c r="G747" s="6"/>
      <c r="H747" s="6"/>
      <c r="I747" s="6"/>
      <c r="J747" s="6"/>
      <c r="K747" s="6"/>
    </row>
    <row r="748" spans="1:11" x14ac:dyDescent="0.25">
      <c r="A748" s="6"/>
      <c r="B748" s="6"/>
      <c r="C748" s="6"/>
      <c r="D748" s="6"/>
      <c r="E748" s="6"/>
      <c r="F748" s="6"/>
      <c r="G748" s="6"/>
      <c r="H748" s="6"/>
      <c r="I748" s="6"/>
      <c r="J748" s="6"/>
      <c r="K748" s="6"/>
    </row>
    <row r="749" spans="1:11" x14ac:dyDescent="0.25">
      <c r="A749" s="6"/>
      <c r="B749" s="6"/>
      <c r="C749" s="6"/>
      <c r="D749" s="6"/>
      <c r="E749" s="6"/>
      <c r="F749" s="6"/>
      <c r="G749" s="6"/>
      <c r="H749" s="6"/>
      <c r="I749" s="6"/>
      <c r="J749" s="6"/>
      <c r="K749" s="6"/>
    </row>
    <row r="750" spans="1:11" x14ac:dyDescent="0.25">
      <c r="A750" s="6"/>
      <c r="B750" s="6"/>
      <c r="C750" s="6"/>
      <c r="D750" s="6"/>
      <c r="E750" s="6"/>
      <c r="F750" s="6"/>
      <c r="G750" s="6"/>
      <c r="H750" s="6"/>
      <c r="I750" s="6"/>
      <c r="J750" s="6"/>
      <c r="K750" s="6"/>
    </row>
    <row r="751" spans="1:11" x14ac:dyDescent="0.25">
      <c r="A751" s="6"/>
      <c r="B751" s="6"/>
      <c r="C751" s="6"/>
      <c r="D751" s="6"/>
      <c r="E751" s="6"/>
      <c r="F751" s="6"/>
      <c r="G751" s="6"/>
      <c r="H751" s="6"/>
      <c r="I751" s="6"/>
      <c r="J751" s="6"/>
      <c r="K751" s="6"/>
    </row>
    <row r="752" spans="1:11" x14ac:dyDescent="0.25">
      <c r="A752" s="6"/>
      <c r="B752" s="6"/>
      <c r="C752" s="6"/>
      <c r="D752" s="6"/>
      <c r="E752" s="6"/>
      <c r="F752" s="6"/>
      <c r="G752" s="6"/>
      <c r="H752" s="6"/>
      <c r="I752" s="6"/>
      <c r="J752" s="6"/>
      <c r="K752" s="6"/>
    </row>
    <row r="753" spans="1:11" x14ac:dyDescent="0.25">
      <c r="A753" s="6"/>
      <c r="B753" s="6"/>
      <c r="C753" s="6"/>
      <c r="D753" s="6"/>
      <c r="E753" s="6"/>
      <c r="F753" s="6"/>
      <c r="G753" s="6"/>
      <c r="H753" s="6"/>
      <c r="I753" s="6"/>
      <c r="J753" s="6"/>
      <c r="K753" s="6"/>
    </row>
    <row r="754" spans="1:11" x14ac:dyDescent="0.25">
      <c r="A754" s="6"/>
      <c r="B754" s="6"/>
      <c r="C754" s="6"/>
      <c r="D754" s="6"/>
      <c r="E754" s="6"/>
      <c r="F754" s="6"/>
      <c r="G754" s="6"/>
      <c r="H754" s="6"/>
      <c r="I754" s="6"/>
      <c r="J754" s="6"/>
      <c r="K754" s="6"/>
    </row>
    <row r="755" spans="1:11" x14ac:dyDescent="0.25">
      <c r="A755" s="6"/>
      <c r="B755" s="6"/>
      <c r="C755" s="6"/>
      <c r="D755" s="6"/>
      <c r="E755" s="6"/>
      <c r="F755" s="6"/>
      <c r="G755" s="6"/>
      <c r="H755" s="6"/>
      <c r="I755" s="6"/>
      <c r="J755" s="6"/>
      <c r="K755" s="6"/>
    </row>
    <row r="756" spans="1:11" x14ac:dyDescent="0.25">
      <c r="A756" s="6"/>
      <c r="B756" s="6"/>
      <c r="C756" s="6"/>
      <c r="D756" s="6"/>
      <c r="E756" s="6"/>
      <c r="F756" s="6"/>
      <c r="G756" s="6"/>
      <c r="H756" s="6"/>
      <c r="I756" s="6"/>
      <c r="J756" s="6"/>
      <c r="K756" s="6"/>
    </row>
    <row r="757" spans="1:11" x14ac:dyDescent="0.25">
      <c r="A757" s="6"/>
      <c r="B757" s="6"/>
      <c r="C757" s="6"/>
      <c r="D757" s="6"/>
      <c r="E757" s="6"/>
      <c r="F757" s="6"/>
      <c r="G757" s="6"/>
      <c r="H757" s="6"/>
      <c r="I757" s="6"/>
      <c r="J757" s="6"/>
      <c r="K757" s="6"/>
    </row>
    <row r="758" spans="1:11" x14ac:dyDescent="0.25">
      <c r="A758" s="6"/>
      <c r="B758" s="6"/>
      <c r="C758" s="6"/>
      <c r="D758" s="6"/>
      <c r="E758" s="6"/>
      <c r="F758" s="6"/>
      <c r="G758" s="6"/>
      <c r="H758" s="6"/>
      <c r="I758" s="6"/>
      <c r="J758" s="6"/>
      <c r="K758" s="6"/>
    </row>
    <row r="759" spans="1:11" x14ac:dyDescent="0.25">
      <c r="A759" s="6"/>
      <c r="B759" s="6"/>
      <c r="C759" s="6"/>
      <c r="D759" s="6"/>
      <c r="E759" s="6"/>
      <c r="F759" s="6"/>
      <c r="G759" s="6"/>
      <c r="H759" s="6"/>
      <c r="I759" s="6"/>
      <c r="J759" s="6"/>
      <c r="K759" s="6"/>
    </row>
    <row r="760" spans="1:11" x14ac:dyDescent="0.25">
      <c r="A760" s="6"/>
      <c r="B760" s="6"/>
      <c r="C760" s="6"/>
      <c r="D760" s="6"/>
      <c r="E760" s="6"/>
      <c r="F760" s="6"/>
      <c r="G760" s="6"/>
      <c r="H760" s="6"/>
      <c r="I760" s="6"/>
      <c r="J760" s="6"/>
      <c r="K760" s="6"/>
    </row>
    <row r="761" spans="1:11" x14ac:dyDescent="0.25">
      <c r="A761" s="6"/>
      <c r="B761" s="6"/>
      <c r="C761" s="6"/>
      <c r="D761" s="6"/>
      <c r="E761" s="6"/>
      <c r="F761" s="6"/>
      <c r="G761" s="6"/>
      <c r="H761" s="6"/>
      <c r="I761" s="6"/>
      <c r="J761" s="6"/>
      <c r="K761" s="6"/>
    </row>
    <row r="762" spans="1:11" x14ac:dyDescent="0.25">
      <c r="A762" s="6"/>
      <c r="B762" s="6"/>
      <c r="C762" s="6"/>
      <c r="D762" s="6"/>
      <c r="E762" s="6"/>
      <c r="F762" s="6"/>
      <c r="G762" s="6"/>
      <c r="H762" s="6"/>
      <c r="I762" s="6"/>
      <c r="J762" s="6"/>
      <c r="K762" s="6"/>
    </row>
    <row r="763" spans="1:11" x14ac:dyDescent="0.25">
      <c r="A763" s="6"/>
      <c r="B763" s="6"/>
      <c r="C763" s="6"/>
      <c r="D763" s="6"/>
      <c r="E763" s="6"/>
      <c r="F763" s="6"/>
      <c r="G763" s="6"/>
      <c r="H763" s="6"/>
      <c r="I763" s="6"/>
      <c r="J763" s="6"/>
      <c r="K763" s="6"/>
    </row>
    <row r="764" spans="1:11" x14ac:dyDescent="0.25">
      <c r="A764" s="6"/>
      <c r="B764" s="6"/>
      <c r="C764" s="6"/>
      <c r="D764" s="6"/>
      <c r="E764" s="6"/>
      <c r="F764" s="6"/>
      <c r="G764" s="6"/>
      <c r="H764" s="6"/>
      <c r="I764" s="6"/>
      <c r="J764" s="6"/>
      <c r="K764" s="6"/>
    </row>
    <row r="765" spans="1:11" x14ac:dyDescent="0.25">
      <c r="A765" s="6"/>
      <c r="B765" s="6"/>
      <c r="C765" s="6"/>
      <c r="D765" s="6"/>
      <c r="E765" s="6"/>
      <c r="F765" s="6"/>
      <c r="G765" s="6"/>
      <c r="H765" s="6"/>
      <c r="I765" s="6"/>
      <c r="J765" s="6"/>
      <c r="K765" s="6"/>
    </row>
    <row r="766" spans="1:11" x14ac:dyDescent="0.25">
      <c r="A766" s="6"/>
      <c r="B766" s="6"/>
      <c r="C766" s="6"/>
      <c r="D766" s="6"/>
      <c r="E766" s="6"/>
      <c r="F766" s="6"/>
      <c r="G766" s="6"/>
      <c r="H766" s="6"/>
      <c r="I766" s="6"/>
      <c r="J766" s="6"/>
      <c r="K766" s="6"/>
    </row>
    <row r="767" spans="1:11" x14ac:dyDescent="0.25">
      <c r="A767" s="6"/>
      <c r="B767" s="6"/>
      <c r="C767" s="6"/>
      <c r="D767" s="6"/>
      <c r="E767" s="6"/>
      <c r="F767" s="6"/>
      <c r="G767" s="6"/>
      <c r="H767" s="6"/>
      <c r="I767" s="6"/>
      <c r="J767" s="6"/>
      <c r="K767" s="6"/>
    </row>
    <row r="768" spans="1:11" x14ac:dyDescent="0.25">
      <c r="A768" s="6"/>
      <c r="B768" s="6"/>
      <c r="C768" s="6"/>
      <c r="D768" s="6"/>
      <c r="E768" s="6"/>
      <c r="F768" s="6"/>
      <c r="G768" s="6"/>
      <c r="H768" s="6"/>
      <c r="I768" s="6"/>
      <c r="J768" s="6"/>
      <c r="K768" s="6"/>
    </row>
    <row r="769" spans="1:11" x14ac:dyDescent="0.25">
      <c r="A769" s="6"/>
      <c r="B769" s="6"/>
      <c r="C769" s="6"/>
      <c r="D769" s="6"/>
      <c r="E769" s="6"/>
      <c r="F769" s="6"/>
      <c r="G769" s="6"/>
      <c r="H769" s="6"/>
      <c r="I769" s="6"/>
      <c r="J769" s="6"/>
      <c r="K769" s="6"/>
    </row>
    <row r="770" spans="1:11" x14ac:dyDescent="0.25">
      <c r="A770" s="6"/>
      <c r="B770" s="6"/>
      <c r="C770" s="6"/>
      <c r="D770" s="6"/>
      <c r="E770" s="6"/>
      <c r="F770" s="6"/>
      <c r="G770" s="6"/>
      <c r="H770" s="6"/>
      <c r="I770" s="6"/>
      <c r="J770" s="6"/>
      <c r="K770" s="6"/>
    </row>
    <row r="771" spans="1:11" x14ac:dyDescent="0.25">
      <c r="A771" s="6"/>
      <c r="B771" s="6"/>
      <c r="C771" s="6"/>
      <c r="D771" s="6"/>
      <c r="E771" s="6"/>
      <c r="F771" s="6"/>
      <c r="G771" s="6"/>
      <c r="H771" s="6"/>
      <c r="I771" s="6"/>
      <c r="J771" s="6"/>
      <c r="K771" s="6"/>
    </row>
    <row r="772" spans="1:11" x14ac:dyDescent="0.25">
      <c r="A772" s="6"/>
      <c r="B772" s="6"/>
      <c r="C772" s="6"/>
      <c r="D772" s="6"/>
      <c r="E772" s="6"/>
      <c r="F772" s="6"/>
      <c r="G772" s="6"/>
      <c r="H772" s="6"/>
      <c r="I772" s="6"/>
      <c r="J772" s="6"/>
      <c r="K772" s="6"/>
    </row>
    <row r="773" spans="1:11" x14ac:dyDescent="0.25">
      <c r="A773" s="6"/>
      <c r="B773" s="6"/>
      <c r="C773" s="6"/>
      <c r="D773" s="6"/>
      <c r="E773" s="6"/>
      <c r="F773" s="6"/>
      <c r="G773" s="6"/>
      <c r="H773" s="6"/>
      <c r="I773" s="6"/>
      <c r="J773" s="6"/>
      <c r="K773" s="6"/>
    </row>
    <row r="774" spans="1:11" x14ac:dyDescent="0.25">
      <c r="A774" s="6"/>
      <c r="B774" s="6"/>
      <c r="C774" s="6"/>
      <c r="D774" s="6"/>
      <c r="E774" s="6"/>
      <c r="F774" s="6"/>
      <c r="G774" s="6"/>
      <c r="H774" s="6"/>
      <c r="I774" s="6"/>
      <c r="J774" s="6"/>
      <c r="K774" s="6"/>
    </row>
    <row r="775" spans="1:11" x14ac:dyDescent="0.25">
      <c r="A775" s="6"/>
      <c r="B775" s="6"/>
      <c r="C775" s="6"/>
      <c r="D775" s="6"/>
      <c r="E775" s="6"/>
      <c r="F775" s="6"/>
      <c r="G775" s="6"/>
      <c r="H775" s="6"/>
      <c r="I775" s="6"/>
      <c r="J775" s="6"/>
      <c r="K775" s="6"/>
    </row>
    <row r="776" spans="1:11" x14ac:dyDescent="0.25">
      <c r="A776" s="6"/>
      <c r="B776" s="6"/>
      <c r="C776" s="6"/>
      <c r="D776" s="6"/>
      <c r="E776" s="6"/>
      <c r="F776" s="6"/>
      <c r="G776" s="6"/>
      <c r="H776" s="6"/>
      <c r="I776" s="6"/>
      <c r="J776" s="6"/>
      <c r="K776" s="6"/>
    </row>
    <row r="777" spans="1:11" x14ac:dyDescent="0.25">
      <c r="A777" s="6"/>
      <c r="B777" s="6"/>
      <c r="C777" s="6"/>
      <c r="D777" s="6"/>
      <c r="E777" s="6"/>
      <c r="F777" s="6"/>
      <c r="G777" s="6"/>
      <c r="H777" s="6"/>
      <c r="I777" s="6"/>
      <c r="J777" s="6"/>
      <c r="K777" s="6"/>
    </row>
    <row r="778" spans="1:11" x14ac:dyDescent="0.25">
      <c r="A778" s="6"/>
      <c r="B778" s="6"/>
      <c r="C778" s="6"/>
      <c r="D778" s="6"/>
      <c r="E778" s="6"/>
      <c r="F778" s="6"/>
      <c r="G778" s="6"/>
      <c r="H778" s="6"/>
      <c r="I778" s="6"/>
      <c r="J778" s="6"/>
      <c r="K778" s="6"/>
    </row>
    <row r="779" spans="1:11" x14ac:dyDescent="0.25">
      <c r="A779" s="6"/>
      <c r="B779" s="6"/>
      <c r="C779" s="6"/>
      <c r="D779" s="6"/>
      <c r="E779" s="6"/>
      <c r="F779" s="6"/>
      <c r="G779" s="6"/>
      <c r="H779" s="6"/>
      <c r="I779" s="6"/>
      <c r="J779" s="6"/>
      <c r="K779" s="6"/>
    </row>
    <row r="780" spans="1:11" x14ac:dyDescent="0.25">
      <c r="A780" s="6"/>
      <c r="B780" s="6"/>
      <c r="C780" s="6"/>
      <c r="D780" s="6"/>
      <c r="E780" s="6"/>
      <c r="F780" s="6"/>
      <c r="G780" s="6"/>
      <c r="H780" s="6"/>
      <c r="I780" s="6"/>
      <c r="J780" s="6"/>
      <c r="K780" s="6"/>
    </row>
    <row r="781" spans="1:11" x14ac:dyDescent="0.25">
      <c r="A781" s="6"/>
      <c r="B781" s="6"/>
      <c r="C781" s="6"/>
      <c r="D781" s="6"/>
      <c r="E781" s="6"/>
      <c r="F781" s="6"/>
      <c r="G781" s="6"/>
      <c r="H781" s="6"/>
      <c r="I781" s="6"/>
      <c r="J781" s="6"/>
      <c r="K781" s="6"/>
    </row>
    <row r="782" spans="1:11" x14ac:dyDescent="0.25">
      <c r="A782" s="6"/>
      <c r="B782" s="6"/>
      <c r="C782" s="6"/>
      <c r="D782" s="6"/>
      <c r="E782" s="6"/>
      <c r="F782" s="6"/>
      <c r="G782" s="6"/>
      <c r="H782" s="6"/>
      <c r="I782" s="6"/>
      <c r="J782" s="6"/>
      <c r="K782" s="6"/>
    </row>
    <row r="783" spans="1:11" x14ac:dyDescent="0.25">
      <c r="A783" s="6"/>
      <c r="B783" s="6"/>
      <c r="C783" s="6"/>
      <c r="D783" s="6"/>
      <c r="E783" s="6"/>
      <c r="F783" s="6"/>
      <c r="G783" s="6"/>
      <c r="H783" s="6"/>
      <c r="I783" s="6"/>
      <c r="J783" s="6"/>
      <c r="K783" s="6"/>
    </row>
    <row r="784" spans="1:11" x14ac:dyDescent="0.25">
      <c r="A784" s="6"/>
      <c r="B784" s="6"/>
      <c r="C784" s="6"/>
      <c r="D784" s="6"/>
      <c r="E784" s="6"/>
      <c r="F784" s="6"/>
      <c r="G784" s="6"/>
      <c r="H784" s="6"/>
      <c r="I784" s="6"/>
      <c r="J784" s="6"/>
      <c r="K784" s="6"/>
    </row>
    <row r="785" spans="1:11" x14ac:dyDescent="0.25">
      <c r="A785" s="6"/>
      <c r="B785" s="6"/>
      <c r="C785" s="6"/>
      <c r="D785" s="6"/>
      <c r="E785" s="6"/>
      <c r="F785" s="6"/>
      <c r="G785" s="6"/>
      <c r="H785" s="6"/>
      <c r="I785" s="6"/>
      <c r="J785" s="6"/>
      <c r="K785" s="6"/>
    </row>
    <row r="786" spans="1:11" x14ac:dyDescent="0.25">
      <c r="A786" s="6"/>
      <c r="B786" s="6"/>
      <c r="C786" s="6"/>
      <c r="D786" s="6"/>
      <c r="E786" s="6"/>
      <c r="F786" s="6"/>
      <c r="G786" s="6"/>
      <c r="H786" s="6"/>
      <c r="I786" s="6"/>
      <c r="J786" s="6"/>
      <c r="K786" s="6"/>
    </row>
    <row r="787" spans="1:11" x14ac:dyDescent="0.25">
      <c r="A787" s="6"/>
      <c r="B787" s="6"/>
      <c r="C787" s="6"/>
      <c r="D787" s="6"/>
      <c r="E787" s="6"/>
      <c r="F787" s="6"/>
      <c r="G787" s="6"/>
      <c r="H787" s="6"/>
      <c r="I787" s="6"/>
      <c r="J787" s="6"/>
      <c r="K787" s="6"/>
    </row>
    <row r="788" spans="1:11" x14ac:dyDescent="0.25">
      <c r="A788" s="6"/>
      <c r="B788" s="6"/>
      <c r="C788" s="6"/>
      <c r="D788" s="6"/>
      <c r="E788" s="6"/>
      <c r="F788" s="6"/>
      <c r="G788" s="6"/>
      <c r="H788" s="6"/>
      <c r="I788" s="6"/>
      <c r="J788" s="6"/>
      <c r="K788" s="6"/>
    </row>
    <row r="789" spans="1:11" x14ac:dyDescent="0.25">
      <c r="A789" s="6"/>
      <c r="B789" s="6"/>
      <c r="C789" s="6"/>
      <c r="D789" s="6"/>
      <c r="E789" s="6"/>
      <c r="F789" s="6"/>
      <c r="G789" s="6"/>
      <c r="H789" s="6"/>
      <c r="I789" s="6"/>
      <c r="J789" s="6"/>
      <c r="K789" s="6"/>
    </row>
    <row r="790" spans="1:11" x14ac:dyDescent="0.25">
      <c r="A790" s="6"/>
      <c r="B790" s="6"/>
      <c r="C790" s="6"/>
      <c r="D790" s="6"/>
      <c r="E790" s="6"/>
      <c r="F790" s="6"/>
      <c r="G790" s="6"/>
      <c r="H790" s="6"/>
      <c r="I790" s="6"/>
      <c r="J790" s="6"/>
      <c r="K790" s="6"/>
    </row>
    <row r="791" spans="1:11" x14ac:dyDescent="0.25">
      <c r="A791" s="6"/>
      <c r="B791" s="6"/>
      <c r="C791" s="6"/>
      <c r="D791" s="6"/>
      <c r="E791" s="6"/>
      <c r="F791" s="6"/>
      <c r="G791" s="6"/>
      <c r="H791" s="6"/>
      <c r="I791" s="6"/>
      <c r="J791" s="6"/>
      <c r="K791" s="6"/>
    </row>
    <row r="792" spans="1:11" x14ac:dyDescent="0.25">
      <c r="A792" s="6"/>
      <c r="B792" s="6"/>
      <c r="C792" s="6"/>
      <c r="D792" s="6"/>
      <c r="E792" s="6"/>
      <c r="F792" s="6"/>
      <c r="G792" s="6"/>
      <c r="H792" s="6"/>
      <c r="I792" s="6"/>
      <c r="J792" s="6"/>
      <c r="K792" s="6"/>
    </row>
    <row r="793" spans="1:11" x14ac:dyDescent="0.25">
      <c r="A793" s="6"/>
      <c r="B793" s="6"/>
      <c r="C793" s="6"/>
      <c r="D793" s="6"/>
      <c r="E793" s="6"/>
      <c r="F793" s="6"/>
      <c r="G793" s="6"/>
      <c r="H793" s="6"/>
      <c r="I793" s="6"/>
      <c r="J793" s="6"/>
      <c r="K793" s="6"/>
    </row>
    <row r="794" spans="1:11" x14ac:dyDescent="0.25">
      <c r="A794" s="6"/>
      <c r="B794" s="6"/>
      <c r="C794" s="6"/>
      <c r="D794" s="6"/>
      <c r="E794" s="6"/>
      <c r="F794" s="6"/>
      <c r="G794" s="6"/>
      <c r="H794" s="6"/>
      <c r="I794" s="6"/>
      <c r="J794" s="6"/>
      <c r="K794" s="6"/>
    </row>
    <row r="795" spans="1:11" x14ac:dyDescent="0.25">
      <c r="A795" s="6"/>
      <c r="B795" s="6"/>
      <c r="C795" s="6"/>
      <c r="D795" s="6"/>
      <c r="E795" s="6"/>
      <c r="F795" s="6"/>
      <c r="G795" s="6"/>
      <c r="H795" s="6"/>
      <c r="I795" s="6"/>
      <c r="J795" s="6"/>
      <c r="K795" s="6"/>
    </row>
    <row r="796" spans="1:11" x14ac:dyDescent="0.25">
      <c r="A796" s="6"/>
      <c r="B796" s="6"/>
      <c r="C796" s="6"/>
      <c r="D796" s="6"/>
      <c r="E796" s="6"/>
      <c r="F796" s="6"/>
      <c r="G796" s="6"/>
      <c r="H796" s="6"/>
      <c r="I796" s="6"/>
      <c r="J796" s="6"/>
      <c r="K796" s="6"/>
    </row>
    <row r="797" spans="1:11" x14ac:dyDescent="0.25">
      <c r="A797" s="6"/>
      <c r="B797" s="6"/>
      <c r="C797" s="6"/>
      <c r="D797" s="6"/>
      <c r="E797" s="6"/>
      <c r="F797" s="6"/>
      <c r="G797" s="6"/>
      <c r="H797" s="6"/>
      <c r="I797" s="6"/>
      <c r="J797" s="6"/>
      <c r="K797" s="6"/>
    </row>
    <row r="798" spans="1:11" x14ac:dyDescent="0.25">
      <c r="A798" s="6"/>
      <c r="B798" s="6"/>
      <c r="C798" s="6"/>
      <c r="D798" s="6"/>
      <c r="E798" s="6"/>
      <c r="F798" s="6"/>
      <c r="G798" s="6"/>
      <c r="H798" s="6"/>
      <c r="I798" s="6"/>
      <c r="J798" s="6"/>
      <c r="K798" s="6"/>
    </row>
    <row r="799" spans="1:11" x14ac:dyDescent="0.25">
      <c r="A799" s="6"/>
      <c r="B799" s="6"/>
      <c r="C799" s="6"/>
      <c r="D799" s="6"/>
      <c r="E799" s="6"/>
      <c r="F799" s="6"/>
      <c r="G799" s="6"/>
      <c r="H799" s="6"/>
      <c r="I799" s="6"/>
      <c r="J799" s="6"/>
      <c r="K799" s="6"/>
    </row>
    <row r="800" spans="1:11" x14ac:dyDescent="0.25">
      <c r="A800" s="6"/>
      <c r="B800" s="6"/>
      <c r="C800" s="6"/>
      <c r="D800" s="6"/>
      <c r="E800" s="6"/>
      <c r="F800" s="6"/>
      <c r="G800" s="6"/>
      <c r="H800" s="6"/>
      <c r="I800" s="6"/>
      <c r="J800" s="6"/>
      <c r="K800" s="6"/>
    </row>
    <row r="801" spans="1:11" x14ac:dyDescent="0.25">
      <c r="A801" s="6"/>
      <c r="B801" s="6"/>
      <c r="C801" s="6"/>
      <c r="D801" s="6"/>
      <c r="E801" s="6"/>
      <c r="F801" s="6"/>
      <c r="G801" s="6"/>
      <c r="H801" s="6"/>
      <c r="I801" s="6"/>
      <c r="J801" s="6"/>
      <c r="K801" s="6"/>
    </row>
    <row r="802" spans="1:11" x14ac:dyDescent="0.25">
      <c r="A802" s="6"/>
      <c r="B802" s="6"/>
      <c r="C802" s="6"/>
      <c r="D802" s="6"/>
      <c r="E802" s="6"/>
      <c r="F802" s="6"/>
      <c r="G802" s="6"/>
      <c r="H802" s="6"/>
      <c r="I802" s="6"/>
      <c r="J802" s="6"/>
      <c r="K802" s="6"/>
    </row>
    <row r="803" spans="1:11" x14ac:dyDescent="0.25">
      <c r="A803" s="6"/>
      <c r="B803" s="6"/>
      <c r="C803" s="6"/>
      <c r="D803" s="6"/>
      <c r="E803" s="6"/>
      <c r="F803" s="6"/>
      <c r="G803" s="6"/>
      <c r="H803" s="6"/>
      <c r="I803" s="6"/>
      <c r="J803" s="6"/>
      <c r="K803" s="6"/>
    </row>
    <row r="804" spans="1:11" x14ac:dyDescent="0.25">
      <c r="A804" s="6"/>
      <c r="B804" s="6"/>
      <c r="C804" s="6"/>
      <c r="D804" s="6"/>
      <c r="E804" s="6"/>
      <c r="F804" s="6"/>
      <c r="G804" s="6"/>
      <c r="H804" s="6"/>
      <c r="I804" s="6"/>
      <c r="J804" s="6"/>
      <c r="K804" s="6"/>
    </row>
    <row r="805" spans="1:11" x14ac:dyDescent="0.25">
      <c r="A805" s="6"/>
      <c r="B805" s="6"/>
      <c r="C805" s="6"/>
      <c r="D805" s="6"/>
      <c r="E805" s="6"/>
      <c r="F805" s="6"/>
      <c r="G805" s="6"/>
      <c r="H805" s="6"/>
      <c r="I805" s="6"/>
      <c r="J805" s="6"/>
      <c r="K805" s="6"/>
    </row>
    <row r="806" spans="1:11" x14ac:dyDescent="0.25">
      <c r="A806" s="6"/>
      <c r="B806" s="6"/>
      <c r="C806" s="6"/>
      <c r="D806" s="6"/>
      <c r="E806" s="6"/>
      <c r="F806" s="6"/>
      <c r="G806" s="6"/>
      <c r="H806" s="6"/>
      <c r="I806" s="6"/>
      <c r="J806" s="6"/>
      <c r="K806" s="6"/>
    </row>
    <row r="807" spans="1:11" x14ac:dyDescent="0.25">
      <c r="A807" s="6"/>
      <c r="B807" s="6"/>
      <c r="C807" s="6"/>
      <c r="D807" s="6"/>
      <c r="E807" s="6"/>
      <c r="F807" s="6"/>
      <c r="G807" s="6"/>
      <c r="H807" s="6"/>
      <c r="I807" s="6"/>
      <c r="J807" s="6"/>
      <c r="K807" s="6"/>
    </row>
    <row r="808" spans="1:11" x14ac:dyDescent="0.25">
      <c r="A808" s="6"/>
      <c r="B808" s="6"/>
      <c r="C808" s="6"/>
      <c r="D808" s="6"/>
      <c r="E808" s="6"/>
      <c r="F808" s="6"/>
      <c r="G808" s="6"/>
      <c r="H808" s="6"/>
      <c r="I808" s="6"/>
      <c r="J808" s="6"/>
      <c r="K808" s="6"/>
    </row>
    <row r="809" spans="1:11" x14ac:dyDescent="0.25">
      <c r="A809" s="6"/>
      <c r="B809" s="6"/>
      <c r="C809" s="6"/>
      <c r="D809" s="6"/>
      <c r="E809" s="6"/>
      <c r="F809" s="6"/>
      <c r="G809" s="6"/>
      <c r="H809" s="6"/>
      <c r="I809" s="6"/>
      <c r="J809" s="6"/>
      <c r="K809" s="6"/>
    </row>
    <row r="810" spans="1:11" x14ac:dyDescent="0.25">
      <c r="A810" s="6"/>
      <c r="B810" s="6"/>
      <c r="C810" s="6"/>
      <c r="D810" s="6"/>
      <c r="E810" s="6"/>
      <c r="F810" s="6"/>
      <c r="G810" s="6"/>
      <c r="H810" s="6"/>
      <c r="I810" s="6"/>
      <c r="J810" s="6"/>
      <c r="K810" s="6"/>
    </row>
    <row r="811" spans="1:11" x14ac:dyDescent="0.25">
      <c r="A811" s="6"/>
      <c r="B811" s="6"/>
      <c r="C811" s="6"/>
      <c r="D811" s="6"/>
      <c r="E811" s="6"/>
      <c r="F811" s="6"/>
      <c r="G811" s="6"/>
      <c r="H811" s="6"/>
      <c r="I811" s="6"/>
      <c r="J811" s="6"/>
      <c r="K811" s="6"/>
    </row>
    <row r="812" spans="1:11" x14ac:dyDescent="0.25">
      <c r="A812" s="6"/>
      <c r="B812" s="6"/>
      <c r="C812" s="6"/>
      <c r="D812" s="6"/>
      <c r="E812" s="6"/>
      <c r="F812" s="6"/>
      <c r="G812" s="6"/>
      <c r="H812" s="6"/>
      <c r="I812" s="6"/>
      <c r="J812" s="6"/>
      <c r="K812" s="6"/>
    </row>
    <row r="813" spans="1:11" x14ac:dyDescent="0.25">
      <c r="A813" s="6"/>
      <c r="B813" s="6"/>
      <c r="C813" s="6"/>
      <c r="D813" s="6"/>
      <c r="E813" s="6"/>
      <c r="F813" s="6"/>
      <c r="G813" s="6"/>
      <c r="H813" s="6"/>
      <c r="I813" s="6"/>
      <c r="J813" s="6"/>
      <c r="K813" s="6"/>
    </row>
    <row r="814" spans="1:11" x14ac:dyDescent="0.25">
      <c r="A814" s="6"/>
      <c r="B814" s="6"/>
      <c r="C814" s="6"/>
      <c r="D814" s="6"/>
      <c r="E814" s="6"/>
      <c r="F814" s="6"/>
      <c r="G814" s="6"/>
      <c r="H814" s="6"/>
      <c r="I814" s="6"/>
      <c r="J814" s="6"/>
      <c r="K814" s="6"/>
    </row>
    <row r="815" spans="1:11" x14ac:dyDescent="0.25">
      <c r="A815" s="6"/>
      <c r="B815" s="6"/>
      <c r="C815" s="6"/>
      <c r="D815" s="6"/>
      <c r="E815" s="6"/>
      <c r="F815" s="6"/>
      <c r="G815" s="6"/>
      <c r="H815" s="6"/>
      <c r="I815" s="6"/>
      <c r="J815" s="6"/>
      <c r="K815" s="6"/>
    </row>
    <row r="816" spans="1:11" x14ac:dyDescent="0.25">
      <c r="A816" s="6"/>
      <c r="B816" s="6"/>
      <c r="C816" s="6"/>
      <c r="D816" s="6"/>
      <c r="E816" s="6"/>
      <c r="F816" s="6"/>
      <c r="G816" s="6"/>
      <c r="H816" s="6"/>
      <c r="I816" s="6"/>
      <c r="J816" s="6"/>
      <c r="K816" s="6"/>
    </row>
    <row r="817" spans="1:11" x14ac:dyDescent="0.25">
      <c r="A817" s="6"/>
      <c r="B817" s="6"/>
      <c r="C817" s="6"/>
      <c r="D817" s="6"/>
      <c r="E817" s="6"/>
      <c r="F817" s="6"/>
      <c r="G817" s="6"/>
      <c r="H817" s="6"/>
      <c r="I817" s="6"/>
      <c r="J817" s="6"/>
      <c r="K817" s="6"/>
    </row>
    <row r="818" spans="1:11" x14ac:dyDescent="0.25">
      <c r="A818" s="6"/>
      <c r="B818" s="6"/>
      <c r="C818" s="6"/>
      <c r="D818" s="6"/>
      <c r="E818" s="6"/>
      <c r="F818" s="6"/>
      <c r="G818" s="6"/>
      <c r="H818" s="6"/>
      <c r="I818" s="6"/>
      <c r="J818" s="6"/>
      <c r="K818" s="6"/>
    </row>
    <row r="819" spans="1:11" x14ac:dyDescent="0.25">
      <c r="A819" s="6"/>
      <c r="B819" s="6"/>
      <c r="C819" s="6"/>
      <c r="D819" s="6"/>
      <c r="E819" s="6"/>
      <c r="F819" s="6"/>
      <c r="G819" s="6"/>
      <c r="H819" s="6"/>
      <c r="I819" s="6"/>
      <c r="J819" s="6"/>
      <c r="K819" s="6"/>
    </row>
    <row r="820" spans="1:11" x14ac:dyDescent="0.25">
      <c r="A820" s="6"/>
      <c r="B820" s="6"/>
      <c r="C820" s="6"/>
      <c r="D820" s="6"/>
      <c r="E820" s="6"/>
      <c r="F820" s="6"/>
      <c r="G820" s="6"/>
      <c r="H820" s="6"/>
      <c r="I820" s="6"/>
      <c r="J820" s="6"/>
      <c r="K820" s="6"/>
    </row>
    <row r="821" spans="1:11" x14ac:dyDescent="0.25">
      <c r="A821" s="6"/>
      <c r="B821" s="6"/>
      <c r="C821" s="6"/>
      <c r="D821" s="6"/>
      <c r="E821" s="6"/>
      <c r="F821" s="6"/>
      <c r="G821" s="6"/>
      <c r="H821" s="6"/>
      <c r="I821" s="6"/>
      <c r="J821" s="6"/>
      <c r="K821" s="6"/>
    </row>
    <row r="822" spans="1:11" x14ac:dyDescent="0.25">
      <c r="A822" s="6"/>
      <c r="B822" s="6"/>
      <c r="C822" s="6"/>
      <c r="D822" s="6"/>
      <c r="E822" s="6"/>
      <c r="F822" s="6"/>
      <c r="G822" s="6"/>
      <c r="H822" s="6"/>
      <c r="I822" s="6"/>
      <c r="J822" s="6"/>
      <c r="K822" s="6"/>
    </row>
    <row r="823" spans="1:11" x14ac:dyDescent="0.25">
      <c r="A823" s="6"/>
      <c r="B823" s="6"/>
      <c r="C823" s="6"/>
      <c r="D823" s="6"/>
      <c r="E823" s="6"/>
      <c r="F823" s="6"/>
      <c r="G823" s="6"/>
      <c r="H823" s="6"/>
      <c r="I823" s="6"/>
      <c r="J823" s="6"/>
      <c r="K823" s="6"/>
    </row>
    <row r="824" spans="1:11" x14ac:dyDescent="0.25">
      <c r="A824" s="6"/>
      <c r="B824" s="6"/>
      <c r="C824" s="6"/>
      <c r="D824" s="6"/>
      <c r="E824" s="6"/>
      <c r="F824" s="6"/>
      <c r="G824" s="6"/>
      <c r="H824" s="6"/>
      <c r="I824" s="6"/>
      <c r="J824" s="6"/>
      <c r="K824" s="6"/>
    </row>
    <row r="825" spans="1:11" x14ac:dyDescent="0.25">
      <c r="A825" s="6"/>
      <c r="B825" s="6"/>
      <c r="C825" s="6"/>
      <c r="D825" s="6"/>
      <c r="E825" s="6"/>
      <c r="F825" s="6"/>
      <c r="G825" s="6"/>
      <c r="H825" s="6"/>
      <c r="I825" s="6"/>
      <c r="J825" s="6"/>
      <c r="K825" s="6"/>
    </row>
    <row r="826" spans="1:11" x14ac:dyDescent="0.25">
      <c r="A826" s="6"/>
      <c r="B826" s="6"/>
      <c r="C826" s="6"/>
      <c r="D826" s="6"/>
      <c r="E826" s="6"/>
      <c r="F826" s="6"/>
      <c r="G826" s="6"/>
      <c r="H826" s="6"/>
      <c r="I826" s="6"/>
      <c r="J826" s="6"/>
      <c r="K826" s="6"/>
    </row>
    <row r="827" spans="1:11" x14ac:dyDescent="0.25">
      <c r="A827" s="6"/>
      <c r="B827" s="6"/>
      <c r="C827" s="6"/>
      <c r="D827" s="6"/>
      <c r="E827" s="6"/>
      <c r="F827" s="6"/>
      <c r="G827" s="6"/>
      <c r="H827" s="6"/>
      <c r="I827" s="6"/>
      <c r="J827" s="6"/>
      <c r="K827" s="6"/>
    </row>
    <row r="828" spans="1:11" x14ac:dyDescent="0.25">
      <c r="A828" s="6"/>
      <c r="B828" s="6"/>
      <c r="C828" s="6"/>
      <c r="D828" s="6"/>
      <c r="E828" s="6"/>
      <c r="F828" s="6"/>
      <c r="G828" s="6"/>
      <c r="H828" s="6"/>
      <c r="I828" s="6"/>
      <c r="J828" s="6"/>
      <c r="K828" s="6"/>
    </row>
    <row r="829" spans="1:11" x14ac:dyDescent="0.25">
      <c r="A829" s="6"/>
      <c r="B829" s="6"/>
      <c r="C829" s="6"/>
      <c r="D829" s="6"/>
      <c r="E829" s="6"/>
      <c r="F829" s="6"/>
      <c r="G829" s="6"/>
      <c r="H829" s="6"/>
      <c r="I829" s="6"/>
      <c r="J829" s="6"/>
      <c r="K829" s="6"/>
    </row>
    <row r="830" spans="1:11" x14ac:dyDescent="0.25">
      <c r="A830" s="6"/>
      <c r="B830" s="6"/>
      <c r="C830" s="6"/>
      <c r="D830" s="6"/>
      <c r="E830" s="6"/>
      <c r="F830" s="6"/>
      <c r="G830" s="6"/>
      <c r="H830" s="6"/>
      <c r="I830" s="6"/>
      <c r="J830" s="6"/>
      <c r="K830" s="6"/>
    </row>
    <row r="831" spans="1:11" x14ac:dyDescent="0.25">
      <c r="A831" s="6"/>
      <c r="B831" s="6"/>
      <c r="C831" s="6"/>
      <c r="D831" s="6"/>
      <c r="E831" s="6"/>
      <c r="F831" s="6"/>
      <c r="G831" s="6"/>
      <c r="H831" s="6"/>
      <c r="I831" s="6"/>
      <c r="J831" s="6"/>
      <c r="K831" s="6"/>
    </row>
    <row r="832" spans="1:11" x14ac:dyDescent="0.25">
      <c r="A832" s="6"/>
      <c r="B832" s="6"/>
      <c r="C832" s="6"/>
      <c r="D832" s="6"/>
      <c r="E832" s="6"/>
      <c r="F832" s="6"/>
      <c r="G832" s="6"/>
      <c r="H832" s="6"/>
      <c r="I832" s="6"/>
      <c r="J832" s="6"/>
      <c r="K832" s="6"/>
    </row>
    <row r="833" spans="1:11" x14ac:dyDescent="0.25">
      <c r="A833" s="6"/>
      <c r="B833" s="6"/>
      <c r="C833" s="6"/>
      <c r="D833" s="6"/>
      <c r="E833" s="6"/>
      <c r="F833" s="6"/>
      <c r="G833" s="6"/>
      <c r="H833" s="6"/>
      <c r="I833" s="6"/>
      <c r="J833" s="6"/>
      <c r="K833" s="6"/>
    </row>
    <row r="834" spans="1:11" x14ac:dyDescent="0.25">
      <c r="A834" s="6"/>
      <c r="B834" s="6"/>
      <c r="C834" s="6"/>
      <c r="D834" s="6"/>
      <c r="E834" s="6"/>
      <c r="F834" s="6"/>
      <c r="G834" s="6"/>
      <c r="H834" s="6"/>
      <c r="I834" s="6"/>
      <c r="J834" s="6"/>
      <c r="K834" s="6"/>
    </row>
    <row r="835" spans="1:11" x14ac:dyDescent="0.25">
      <c r="A835" s="6"/>
      <c r="B835" s="6"/>
      <c r="C835" s="6"/>
      <c r="D835" s="6"/>
      <c r="E835" s="6"/>
      <c r="F835" s="6"/>
      <c r="G835" s="6"/>
      <c r="H835" s="6"/>
      <c r="I835" s="6"/>
      <c r="J835" s="6"/>
      <c r="K835" s="6"/>
    </row>
    <row r="836" spans="1:11" x14ac:dyDescent="0.25">
      <c r="A836" s="6"/>
      <c r="B836" s="6"/>
      <c r="C836" s="6"/>
      <c r="D836" s="6"/>
      <c r="E836" s="6"/>
      <c r="F836" s="6"/>
      <c r="G836" s="6"/>
      <c r="H836" s="6"/>
      <c r="I836" s="6"/>
      <c r="J836" s="6"/>
      <c r="K836" s="6"/>
    </row>
    <row r="837" spans="1:11" x14ac:dyDescent="0.25">
      <c r="A837" s="6"/>
      <c r="B837" s="6"/>
      <c r="C837" s="6"/>
      <c r="D837" s="6"/>
      <c r="E837" s="6"/>
      <c r="F837" s="6"/>
      <c r="G837" s="6"/>
      <c r="H837" s="6"/>
      <c r="I837" s="6"/>
      <c r="J837" s="6"/>
      <c r="K837" s="6"/>
    </row>
    <row r="838" spans="1:11" x14ac:dyDescent="0.25">
      <c r="A838" s="6"/>
      <c r="B838" s="6"/>
      <c r="C838" s="6"/>
      <c r="D838" s="6"/>
      <c r="E838" s="6"/>
      <c r="F838" s="6"/>
      <c r="G838" s="6"/>
      <c r="H838" s="6"/>
      <c r="I838" s="6"/>
      <c r="J838" s="6"/>
      <c r="K838" s="6"/>
    </row>
    <row r="839" spans="1:11" x14ac:dyDescent="0.25">
      <c r="A839" s="6"/>
      <c r="B839" s="6"/>
      <c r="C839" s="6"/>
      <c r="D839" s="6"/>
      <c r="E839" s="6"/>
      <c r="F839" s="6"/>
      <c r="G839" s="6"/>
      <c r="H839" s="6"/>
      <c r="I839" s="6"/>
      <c r="J839" s="6"/>
      <c r="K839" s="6"/>
    </row>
    <row r="840" spans="1:11" x14ac:dyDescent="0.25">
      <c r="A840" s="6"/>
      <c r="B840" s="6"/>
      <c r="C840" s="6"/>
      <c r="D840" s="6"/>
      <c r="E840" s="6"/>
      <c r="F840" s="6"/>
      <c r="G840" s="6"/>
      <c r="H840" s="6"/>
      <c r="I840" s="6"/>
      <c r="J840" s="6"/>
      <c r="K840" s="6"/>
    </row>
    <row r="841" spans="1:11" x14ac:dyDescent="0.25">
      <c r="A841" s="6"/>
      <c r="B841" s="6"/>
      <c r="C841" s="6"/>
      <c r="D841" s="6"/>
      <c r="E841" s="6"/>
      <c r="F841" s="6"/>
      <c r="G841" s="6"/>
      <c r="H841" s="6"/>
      <c r="I841" s="6"/>
      <c r="J841" s="6"/>
      <c r="K841" s="6"/>
    </row>
    <row r="842" spans="1:11" x14ac:dyDescent="0.25">
      <c r="A842" s="6"/>
      <c r="B842" s="6"/>
      <c r="C842" s="6"/>
      <c r="D842" s="6"/>
      <c r="E842" s="6"/>
      <c r="F842" s="6"/>
      <c r="G842" s="6"/>
      <c r="H842" s="6"/>
      <c r="I842" s="6"/>
      <c r="J842" s="6"/>
      <c r="K842" s="6"/>
    </row>
    <row r="843" spans="1:11" x14ac:dyDescent="0.25">
      <c r="A843" s="6"/>
      <c r="B843" s="6"/>
      <c r="C843" s="6"/>
      <c r="D843" s="6"/>
      <c r="E843" s="6"/>
      <c r="F843" s="6"/>
      <c r="G843" s="6"/>
      <c r="H843" s="6"/>
      <c r="I843" s="6"/>
      <c r="J843" s="6"/>
      <c r="K843" s="6"/>
    </row>
    <row r="844" spans="1:11" x14ac:dyDescent="0.25">
      <c r="A844" s="6"/>
      <c r="B844" s="6"/>
      <c r="C844" s="6"/>
      <c r="D844" s="6"/>
      <c r="E844" s="6"/>
      <c r="F844" s="6"/>
      <c r="G844" s="6"/>
      <c r="H844" s="6"/>
      <c r="I844" s="6"/>
      <c r="J844" s="6"/>
      <c r="K844" s="6"/>
    </row>
    <row r="845" spans="1:11" x14ac:dyDescent="0.25">
      <c r="A845" s="6"/>
      <c r="B845" s="6"/>
      <c r="C845" s="6"/>
      <c r="D845" s="6"/>
      <c r="E845" s="6"/>
      <c r="F845" s="6"/>
      <c r="G845" s="6"/>
      <c r="H845" s="6"/>
      <c r="I845" s="6"/>
      <c r="J845" s="6"/>
      <c r="K845" s="6"/>
    </row>
    <row r="846" spans="1:11" x14ac:dyDescent="0.25">
      <c r="A846" s="6"/>
      <c r="B846" s="6"/>
      <c r="C846" s="6"/>
      <c r="D846" s="6"/>
      <c r="E846" s="6"/>
      <c r="F846" s="6"/>
      <c r="G846" s="6"/>
      <c r="H846" s="6"/>
      <c r="I846" s="6"/>
      <c r="J846" s="6"/>
      <c r="K846" s="6"/>
    </row>
    <row r="847" spans="1:11" x14ac:dyDescent="0.25">
      <c r="A847" s="6"/>
      <c r="B847" s="6"/>
      <c r="C847" s="6"/>
      <c r="D847" s="6"/>
      <c r="E847" s="6"/>
      <c r="F847" s="6"/>
      <c r="G847" s="6"/>
      <c r="H847" s="6"/>
      <c r="I847" s="6"/>
      <c r="J847" s="6"/>
      <c r="K847" s="6"/>
    </row>
    <row r="848" spans="1:11" x14ac:dyDescent="0.25">
      <c r="A848" s="6"/>
      <c r="B848" s="6"/>
      <c r="C848" s="6"/>
      <c r="D848" s="6"/>
      <c r="E848" s="6"/>
      <c r="F848" s="6"/>
      <c r="G848" s="6"/>
      <c r="H848" s="6"/>
      <c r="I848" s="6"/>
      <c r="J848" s="6"/>
      <c r="K848" s="6"/>
    </row>
    <row r="849" spans="1:11" x14ac:dyDescent="0.25">
      <c r="A849" s="6"/>
      <c r="B849" s="6"/>
      <c r="C849" s="6"/>
      <c r="D849" s="6"/>
      <c r="E849" s="6"/>
      <c r="F849" s="6"/>
      <c r="G849" s="6"/>
      <c r="H849" s="6"/>
      <c r="I849" s="6"/>
      <c r="J849" s="6"/>
      <c r="K849" s="6"/>
    </row>
    <row r="850" spans="1:11" x14ac:dyDescent="0.25">
      <c r="A850" s="6"/>
      <c r="B850" s="6"/>
      <c r="C850" s="6"/>
      <c r="D850" s="6"/>
      <c r="E850" s="6"/>
      <c r="F850" s="6"/>
      <c r="G850" s="6"/>
      <c r="H850" s="6"/>
      <c r="I850" s="6"/>
      <c r="J850" s="6"/>
      <c r="K850" s="6"/>
    </row>
    <row r="851" spans="1:11" x14ac:dyDescent="0.25">
      <c r="A851" s="6"/>
      <c r="B851" s="6"/>
      <c r="C851" s="6"/>
      <c r="D851" s="6"/>
      <c r="E851" s="6"/>
      <c r="F851" s="6"/>
      <c r="G851" s="6"/>
      <c r="H851" s="6"/>
      <c r="I851" s="6"/>
      <c r="J851" s="6"/>
      <c r="K851" s="6"/>
    </row>
    <row r="852" spans="1:11" x14ac:dyDescent="0.25">
      <c r="A852" s="6"/>
      <c r="B852" s="6"/>
      <c r="C852" s="6"/>
      <c r="D852" s="6"/>
      <c r="E852" s="6"/>
      <c r="F852" s="6"/>
      <c r="G852" s="6"/>
      <c r="H852" s="6"/>
      <c r="I852" s="6"/>
      <c r="J852" s="6"/>
      <c r="K852" s="6"/>
    </row>
    <row r="853" spans="1:11" x14ac:dyDescent="0.25">
      <c r="A853" s="6"/>
      <c r="B853" s="6"/>
      <c r="C853" s="6"/>
      <c r="D853" s="6"/>
      <c r="E853" s="6"/>
      <c r="F853" s="6"/>
      <c r="G853" s="6"/>
      <c r="H853" s="6"/>
      <c r="I853" s="6"/>
      <c r="J853" s="6"/>
      <c r="K853" s="6"/>
    </row>
    <row r="854" spans="1:11" x14ac:dyDescent="0.25">
      <c r="A854" s="6"/>
      <c r="B854" s="6"/>
      <c r="C854" s="6"/>
      <c r="D854" s="6"/>
      <c r="E854" s="6"/>
      <c r="F854" s="6"/>
      <c r="G854" s="6"/>
      <c r="H854" s="6"/>
      <c r="I854" s="6"/>
      <c r="J854" s="6"/>
      <c r="K854" s="6"/>
    </row>
    <row r="855" spans="1:11" x14ac:dyDescent="0.25">
      <c r="A855" s="6"/>
      <c r="B855" s="6"/>
      <c r="C855" s="6"/>
      <c r="D855" s="6"/>
      <c r="E855" s="6"/>
      <c r="F855" s="6"/>
      <c r="G855" s="6"/>
      <c r="H855" s="6"/>
      <c r="I855" s="6"/>
      <c r="J855" s="6"/>
      <c r="K855" s="6"/>
    </row>
    <row r="856" spans="1:11" x14ac:dyDescent="0.25">
      <c r="A856" s="6"/>
      <c r="B856" s="6"/>
      <c r="C856" s="6"/>
      <c r="D856" s="6"/>
      <c r="E856" s="6"/>
      <c r="F856" s="6"/>
      <c r="G856" s="6"/>
      <c r="H856" s="6"/>
      <c r="I856" s="6"/>
      <c r="J856" s="6"/>
      <c r="K856" s="6"/>
    </row>
    <row r="857" spans="1:11" x14ac:dyDescent="0.25">
      <c r="A857" s="6"/>
      <c r="B857" s="6"/>
      <c r="C857" s="6"/>
      <c r="D857" s="6"/>
      <c r="E857" s="6"/>
      <c r="F857" s="6"/>
      <c r="G857" s="6"/>
      <c r="H857" s="6"/>
      <c r="I857" s="6"/>
      <c r="J857" s="6"/>
      <c r="K857" s="6"/>
    </row>
    <row r="858" spans="1:11" x14ac:dyDescent="0.25">
      <c r="A858" s="6"/>
      <c r="B858" s="6"/>
      <c r="C858" s="6"/>
      <c r="D858" s="6"/>
      <c r="E858" s="6"/>
      <c r="F858" s="6"/>
      <c r="G858" s="6"/>
      <c r="H858" s="6"/>
      <c r="I858" s="6"/>
      <c r="J858" s="6"/>
      <c r="K858" s="6"/>
    </row>
    <row r="859" spans="1:11" x14ac:dyDescent="0.25">
      <c r="A859" s="6"/>
      <c r="B859" s="6"/>
      <c r="C859" s="6"/>
      <c r="D859" s="6"/>
      <c r="E859" s="6"/>
      <c r="F859" s="6"/>
      <c r="G859" s="6"/>
      <c r="H859" s="6"/>
      <c r="I859" s="6"/>
      <c r="J859" s="6"/>
      <c r="K859" s="6"/>
    </row>
    <row r="860" spans="1:11" x14ac:dyDescent="0.25">
      <c r="A860" s="6"/>
      <c r="B860" s="6"/>
      <c r="C860" s="6"/>
      <c r="D860" s="6"/>
      <c r="E860" s="6"/>
      <c r="F860" s="6"/>
      <c r="G860" s="6"/>
      <c r="H860" s="6"/>
      <c r="I860" s="6"/>
      <c r="J860" s="6"/>
      <c r="K860" s="6"/>
    </row>
    <row r="861" spans="1:11" x14ac:dyDescent="0.25">
      <c r="A861" s="6"/>
      <c r="B861" s="6"/>
      <c r="C861" s="6"/>
      <c r="D861" s="6"/>
      <c r="E861" s="6"/>
      <c r="F861" s="6"/>
      <c r="G861" s="6"/>
      <c r="H861" s="6"/>
      <c r="I861" s="6"/>
      <c r="J861" s="6"/>
      <c r="K861" s="6"/>
    </row>
    <row r="862" spans="1:11" x14ac:dyDescent="0.25">
      <c r="A862" s="6"/>
      <c r="B862" s="6"/>
      <c r="C862" s="6"/>
      <c r="D862" s="6"/>
      <c r="E862" s="6"/>
      <c r="F862" s="6"/>
      <c r="G862" s="6"/>
      <c r="H862" s="6"/>
      <c r="I862" s="6"/>
      <c r="J862" s="6"/>
      <c r="K862" s="6"/>
    </row>
    <row r="863" spans="1:11" x14ac:dyDescent="0.25">
      <c r="A863" s="6"/>
      <c r="B863" s="6"/>
      <c r="C863" s="6"/>
      <c r="D863" s="6"/>
      <c r="E863" s="6"/>
      <c r="F863" s="6"/>
      <c r="G863" s="6"/>
      <c r="H863" s="6"/>
      <c r="I863" s="6"/>
      <c r="J863" s="6"/>
      <c r="K863" s="6"/>
    </row>
    <row r="864" spans="1:11" x14ac:dyDescent="0.25">
      <c r="A864" s="6"/>
      <c r="B864" s="6"/>
      <c r="C864" s="6"/>
      <c r="D864" s="6"/>
      <c r="E864" s="6"/>
      <c r="F864" s="6"/>
      <c r="G864" s="6"/>
      <c r="H864" s="6"/>
      <c r="I864" s="6"/>
      <c r="J864" s="6"/>
      <c r="K864" s="6"/>
    </row>
    <row r="865" spans="1:11" x14ac:dyDescent="0.25">
      <c r="A865" s="6"/>
      <c r="B865" s="6"/>
      <c r="C865" s="6"/>
      <c r="D865" s="6"/>
      <c r="E865" s="6"/>
      <c r="F865" s="6"/>
      <c r="G865" s="6"/>
      <c r="H865" s="6"/>
      <c r="I865" s="6"/>
      <c r="J865" s="6"/>
      <c r="K865" s="6"/>
    </row>
    <row r="866" spans="1:11" x14ac:dyDescent="0.25">
      <c r="A866" s="6"/>
      <c r="B866" s="6"/>
      <c r="C866" s="6"/>
      <c r="D866" s="6"/>
      <c r="E866" s="6"/>
      <c r="F866" s="6"/>
      <c r="G866" s="6"/>
      <c r="H866" s="6"/>
      <c r="I866" s="6"/>
      <c r="J866" s="6"/>
      <c r="K866" s="6"/>
    </row>
    <row r="867" spans="1:11" x14ac:dyDescent="0.25">
      <c r="A867" s="6"/>
      <c r="B867" s="6"/>
      <c r="C867" s="6"/>
      <c r="D867" s="6"/>
      <c r="E867" s="6"/>
      <c r="F867" s="6"/>
      <c r="G867" s="6"/>
      <c r="H867" s="6"/>
      <c r="I867" s="6"/>
      <c r="J867" s="6"/>
      <c r="K867" s="6"/>
    </row>
    <row r="868" spans="1:11" x14ac:dyDescent="0.25">
      <c r="A868" s="6"/>
      <c r="B868" s="6"/>
      <c r="C868" s="6"/>
      <c r="D868" s="6"/>
      <c r="E868" s="6"/>
      <c r="F868" s="6"/>
      <c r="G868" s="6"/>
      <c r="H868" s="6"/>
      <c r="I868" s="6"/>
      <c r="J868" s="6"/>
      <c r="K868" s="6"/>
    </row>
    <row r="869" spans="1:11" x14ac:dyDescent="0.25">
      <c r="A869" s="6"/>
      <c r="B869" s="6"/>
      <c r="C869" s="6"/>
      <c r="D869" s="6"/>
      <c r="E869" s="6"/>
      <c r="F869" s="6"/>
      <c r="G869" s="6"/>
      <c r="H869" s="6"/>
      <c r="I869" s="6"/>
      <c r="J869" s="6"/>
      <c r="K869" s="6"/>
    </row>
    <row r="870" spans="1:11" x14ac:dyDescent="0.25">
      <c r="A870" s="6"/>
      <c r="B870" s="6"/>
      <c r="C870" s="6"/>
      <c r="D870" s="6"/>
      <c r="E870" s="6"/>
      <c r="F870" s="6"/>
      <c r="G870" s="6"/>
      <c r="H870" s="6"/>
      <c r="I870" s="6"/>
      <c r="J870" s="6"/>
      <c r="K870" s="6"/>
    </row>
    <row r="871" spans="1:11" x14ac:dyDescent="0.25">
      <c r="A871" s="6"/>
      <c r="B871" s="6"/>
      <c r="C871" s="6"/>
      <c r="D871" s="6"/>
      <c r="E871" s="6"/>
      <c r="F871" s="6"/>
      <c r="G871" s="6"/>
      <c r="H871" s="6"/>
      <c r="I871" s="6"/>
      <c r="J871" s="6"/>
      <c r="K871" s="6"/>
    </row>
    <row r="872" spans="1:11" x14ac:dyDescent="0.25">
      <c r="A872" s="6"/>
      <c r="B872" s="6"/>
      <c r="C872" s="6"/>
      <c r="D872" s="6"/>
      <c r="E872" s="6"/>
      <c r="F872" s="6"/>
      <c r="G872" s="6"/>
      <c r="H872" s="6"/>
      <c r="I872" s="6"/>
      <c r="J872" s="6"/>
      <c r="K872" s="6"/>
    </row>
    <row r="873" spans="1:11" x14ac:dyDescent="0.25">
      <c r="A873" s="6"/>
      <c r="B873" s="6"/>
      <c r="C873" s="6"/>
      <c r="D873" s="6"/>
      <c r="E873" s="6"/>
      <c r="F873" s="6"/>
      <c r="G873" s="6"/>
      <c r="H873" s="6"/>
      <c r="I873" s="6"/>
      <c r="J873" s="6"/>
      <c r="K873" s="6"/>
    </row>
    <row r="874" spans="1:11" x14ac:dyDescent="0.25">
      <c r="A874" s="6"/>
      <c r="B874" s="6"/>
      <c r="C874" s="6"/>
      <c r="D874" s="6"/>
      <c r="E874" s="6"/>
      <c r="F874" s="6"/>
      <c r="G874" s="6"/>
      <c r="H874" s="6"/>
      <c r="I874" s="6"/>
      <c r="J874" s="6"/>
      <c r="K874" s="6"/>
    </row>
    <row r="875" spans="1:11" x14ac:dyDescent="0.25">
      <c r="A875" s="6"/>
      <c r="B875" s="6"/>
      <c r="C875" s="6"/>
      <c r="D875" s="6"/>
      <c r="E875" s="6"/>
      <c r="F875" s="6"/>
      <c r="G875" s="6"/>
      <c r="H875" s="6"/>
      <c r="I875" s="6"/>
      <c r="J875" s="6"/>
      <c r="K875" s="6"/>
    </row>
    <row r="876" spans="1:11" x14ac:dyDescent="0.25">
      <c r="A876" s="6"/>
      <c r="B876" s="6"/>
      <c r="C876" s="6"/>
      <c r="D876" s="6"/>
      <c r="E876" s="6"/>
      <c r="F876" s="6"/>
      <c r="G876" s="6"/>
      <c r="H876" s="6"/>
      <c r="I876" s="6"/>
      <c r="J876" s="6"/>
      <c r="K876" s="6"/>
    </row>
    <row r="877" spans="1:11" x14ac:dyDescent="0.25">
      <c r="A877" s="6"/>
      <c r="B877" s="6"/>
      <c r="C877" s="6"/>
      <c r="D877" s="6"/>
      <c r="E877" s="6"/>
      <c r="F877" s="6"/>
      <c r="G877" s="6"/>
      <c r="H877" s="6"/>
      <c r="I877" s="6"/>
      <c r="J877" s="6"/>
      <c r="K877" s="6"/>
    </row>
    <row r="878" spans="1:11" x14ac:dyDescent="0.25">
      <c r="A878" s="6"/>
      <c r="B878" s="6"/>
      <c r="C878" s="6"/>
      <c r="D878" s="6"/>
      <c r="E878" s="6"/>
      <c r="F878" s="6"/>
      <c r="G878" s="6"/>
      <c r="H878" s="6"/>
      <c r="I878" s="6"/>
      <c r="J878" s="6"/>
      <c r="K878" s="6"/>
    </row>
    <row r="879" spans="1:11" x14ac:dyDescent="0.25">
      <c r="A879" s="6"/>
      <c r="B879" s="6"/>
      <c r="C879" s="6"/>
      <c r="D879" s="6"/>
      <c r="E879" s="6"/>
      <c r="F879" s="6"/>
      <c r="G879" s="6"/>
      <c r="H879" s="6"/>
      <c r="I879" s="6"/>
      <c r="J879" s="6"/>
      <c r="K879" s="6"/>
    </row>
    <row r="880" spans="1:11" x14ac:dyDescent="0.25">
      <c r="A880" s="6"/>
      <c r="B880" s="6"/>
      <c r="C880" s="6"/>
      <c r="D880" s="6"/>
      <c r="E880" s="6"/>
      <c r="F880" s="6"/>
      <c r="G880" s="6"/>
      <c r="H880" s="6"/>
      <c r="I880" s="6"/>
      <c r="J880" s="6"/>
      <c r="K880" s="6"/>
    </row>
    <row r="881" spans="1:11" x14ac:dyDescent="0.25">
      <c r="A881" s="6"/>
      <c r="B881" s="6"/>
      <c r="C881" s="6"/>
      <c r="D881" s="6"/>
      <c r="E881" s="6"/>
      <c r="F881" s="6"/>
      <c r="G881" s="6"/>
      <c r="H881" s="6"/>
      <c r="I881" s="6"/>
      <c r="J881" s="6"/>
      <c r="K881" s="6"/>
    </row>
    <row r="882" spans="1:11" x14ac:dyDescent="0.25">
      <c r="A882" s="6"/>
      <c r="B882" s="6"/>
      <c r="C882" s="6"/>
      <c r="D882" s="6"/>
      <c r="E882" s="6"/>
      <c r="F882" s="6"/>
      <c r="G882" s="6"/>
      <c r="H882" s="6"/>
      <c r="I882" s="6"/>
      <c r="J882" s="6"/>
      <c r="K882" s="6"/>
    </row>
    <row r="883" spans="1:11" x14ac:dyDescent="0.25">
      <c r="A883" s="6"/>
      <c r="B883" s="6"/>
      <c r="C883" s="6"/>
      <c r="D883" s="6"/>
      <c r="E883" s="6"/>
      <c r="F883" s="6"/>
      <c r="G883" s="6"/>
      <c r="H883" s="6"/>
      <c r="I883" s="6"/>
      <c r="J883" s="6"/>
      <c r="K883" s="6"/>
    </row>
    <row r="884" spans="1:11" x14ac:dyDescent="0.25">
      <c r="A884" s="6"/>
      <c r="B884" s="6"/>
      <c r="C884" s="6"/>
      <c r="D884" s="6"/>
      <c r="E884" s="6"/>
      <c r="F884" s="6"/>
      <c r="G884" s="6"/>
      <c r="H884" s="6"/>
      <c r="I884" s="6"/>
      <c r="J884" s="6"/>
      <c r="K884" s="6"/>
    </row>
    <row r="885" spans="1:11" x14ac:dyDescent="0.25">
      <c r="A885" s="6"/>
      <c r="B885" s="6"/>
      <c r="C885" s="6"/>
      <c r="D885" s="6"/>
      <c r="E885" s="6"/>
      <c r="F885" s="6"/>
      <c r="G885" s="6"/>
      <c r="H885" s="6"/>
      <c r="I885" s="6"/>
      <c r="J885" s="6"/>
      <c r="K885" s="6"/>
    </row>
    <row r="886" spans="1:11" x14ac:dyDescent="0.25">
      <c r="A886" s="6"/>
      <c r="B886" s="6"/>
      <c r="C886" s="6"/>
      <c r="D886" s="6"/>
      <c r="E886" s="6"/>
      <c r="F886" s="6"/>
      <c r="G886" s="6"/>
      <c r="H886" s="6"/>
      <c r="I886" s="6"/>
      <c r="J886" s="6"/>
      <c r="K886" s="6"/>
    </row>
    <row r="887" spans="1:11" x14ac:dyDescent="0.25">
      <c r="A887" s="6"/>
      <c r="B887" s="6"/>
      <c r="C887" s="6"/>
      <c r="D887" s="6"/>
      <c r="E887" s="6"/>
      <c r="F887" s="6"/>
      <c r="G887" s="6"/>
      <c r="H887" s="6"/>
      <c r="I887" s="6"/>
      <c r="J887" s="6"/>
      <c r="K887" s="6"/>
    </row>
    <row r="888" spans="1:11" x14ac:dyDescent="0.25">
      <c r="A888" s="6"/>
      <c r="B888" s="6"/>
      <c r="C888" s="6"/>
      <c r="D888" s="6"/>
      <c r="E888" s="6"/>
      <c r="F888" s="6"/>
      <c r="G888" s="6"/>
      <c r="H888" s="6"/>
      <c r="I888" s="6"/>
      <c r="J888" s="6"/>
      <c r="K888" s="6"/>
    </row>
    <row r="889" spans="1:11" x14ac:dyDescent="0.25">
      <c r="A889" s="6"/>
      <c r="B889" s="6"/>
      <c r="C889" s="6"/>
      <c r="D889" s="6"/>
      <c r="E889" s="6"/>
      <c r="F889" s="6"/>
      <c r="G889" s="6"/>
      <c r="H889" s="6"/>
      <c r="I889" s="6"/>
      <c r="J889" s="6"/>
      <c r="K889" s="6"/>
    </row>
    <row r="890" spans="1:11" x14ac:dyDescent="0.25">
      <c r="A890" s="6"/>
      <c r="B890" s="6"/>
      <c r="C890" s="6"/>
      <c r="D890" s="6"/>
      <c r="E890" s="6"/>
      <c r="F890" s="6"/>
      <c r="G890" s="6"/>
      <c r="H890" s="6"/>
      <c r="I890" s="6"/>
      <c r="J890" s="6"/>
      <c r="K890" s="6"/>
    </row>
    <row r="891" spans="1:11" x14ac:dyDescent="0.25">
      <c r="A891" s="6"/>
      <c r="B891" s="6"/>
      <c r="C891" s="6"/>
      <c r="D891" s="6"/>
      <c r="E891" s="6"/>
      <c r="F891" s="6"/>
      <c r="G891" s="6"/>
      <c r="H891" s="6"/>
      <c r="I891" s="6"/>
      <c r="J891" s="6"/>
      <c r="K891" s="6"/>
    </row>
    <row r="892" spans="1:11" x14ac:dyDescent="0.25">
      <c r="A892" s="6"/>
      <c r="B892" s="6"/>
      <c r="C892" s="6"/>
      <c r="D892" s="6"/>
      <c r="E892" s="6"/>
      <c r="F892" s="6"/>
      <c r="G892" s="6"/>
      <c r="H892" s="6"/>
      <c r="I892" s="6"/>
      <c r="J892" s="6"/>
      <c r="K892" s="6"/>
    </row>
    <row r="893" spans="1:11" x14ac:dyDescent="0.25">
      <c r="A893" s="6"/>
      <c r="B893" s="6"/>
      <c r="C893" s="6"/>
      <c r="D893" s="6"/>
      <c r="E893" s="6"/>
      <c r="F893" s="6"/>
      <c r="G893" s="6"/>
      <c r="H893" s="6"/>
      <c r="I893" s="6"/>
      <c r="J893" s="6"/>
      <c r="K893" s="6"/>
    </row>
    <row r="894" spans="1:11" x14ac:dyDescent="0.25">
      <c r="A894" s="6"/>
      <c r="B894" s="6"/>
      <c r="C894" s="6"/>
      <c r="D894" s="6"/>
      <c r="E894" s="6"/>
      <c r="F894" s="6"/>
      <c r="G894" s="6"/>
      <c r="H894" s="6"/>
      <c r="I894" s="6"/>
      <c r="J894" s="6"/>
      <c r="K894" s="6"/>
    </row>
    <row r="895" spans="1:11" x14ac:dyDescent="0.25">
      <c r="A895" s="6"/>
      <c r="B895" s="6"/>
      <c r="C895" s="6"/>
      <c r="D895" s="6"/>
      <c r="E895" s="6"/>
      <c r="F895" s="6"/>
      <c r="G895" s="6"/>
      <c r="H895" s="6"/>
      <c r="I895" s="6"/>
      <c r="J895" s="6"/>
      <c r="K895" s="6"/>
    </row>
    <row r="896" spans="1:11" x14ac:dyDescent="0.25">
      <c r="A896" s="6"/>
      <c r="B896" s="6"/>
      <c r="C896" s="6"/>
      <c r="D896" s="6"/>
      <c r="E896" s="6"/>
      <c r="F896" s="6"/>
      <c r="G896" s="6"/>
      <c r="H896" s="6"/>
      <c r="I896" s="6"/>
      <c r="J896" s="6"/>
      <c r="K896" s="6"/>
    </row>
    <row r="897" spans="1:11" x14ac:dyDescent="0.25">
      <c r="A897" s="6"/>
      <c r="B897" s="6"/>
      <c r="C897" s="6"/>
      <c r="D897" s="6"/>
      <c r="E897" s="6"/>
      <c r="F897" s="6"/>
      <c r="G897" s="6"/>
      <c r="H897" s="6"/>
      <c r="I897" s="6"/>
      <c r="J897" s="6"/>
      <c r="K897" s="6"/>
    </row>
    <row r="898" spans="1:11" x14ac:dyDescent="0.25">
      <c r="A898" s="6"/>
      <c r="B898" s="6"/>
      <c r="C898" s="6"/>
      <c r="D898" s="6"/>
      <c r="E898" s="6"/>
      <c r="F898" s="6"/>
      <c r="G898" s="6"/>
      <c r="H898" s="6"/>
      <c r="I898" s="6"/>
      <c r="J898" s="6"/>
      <c r="K898" s="6"/>
    </row>
    <row r="899" spans="1:11" x14ac:dyDescent="0.25">
      <c r="A899" s="6"/>
      <c r="B899" s="6"/>
      <c r="C899" s="6"/>
      <c r="D899" s="6"/>
      <c r="E899" s="6"/>
      <c r="F899" s="6"/>
      <c r="G899" s="6"/>
      <c r="H899" s="6"/>
      <c r="I899" s="6"/>
      <c r="J899" s="6"/>
      <c r="K899" s="6"/>
    </row>
    <row r="900" spans="1:11" x14ac:dyDescent="0.25">
      <c r="A900" s="6"/>
      <c r="B900" s="6"/>
      <c r="C900" s="6"/>
      <c r="D900" s="6"/>
      <c r="E900" s="6"/>
      <c r="F900" s="6"/>
      <c r="G900" s="6"/>
      <c r="H900" s="6"/>
      <c r="I900" s="6"/>
      <c r="J900" s="6"/>
      <c r="K900" s="6"/>
    </row>
    <row r="901" spans="1:11" x14ac:dyDescent="0.25">
      <c r="A901" s="6"/>
      <c r="B901" s="6"/>
      <c r="C901" s="6"/>
      <c r="D901" s="6"/>
      <c r="E901" s="6"/>
      <c r="F901" s="6"/>
      <c r="G901" s="6"/>
      <c r="H901" s="6"/>
      <c r="I901" s="6"/>
      <c r="J901" s="6"/>
      <c r="K901" s="6"/>
    </row>
    <row r="902" spans="1:11" x14ac:dyDescent="0.25">
      <c r="A902" s="6"/>
      <c r="B902" s="6"/>
      <c r="C902" s="6"/>
      <c r="D902" s="6"/>
      <c r="E902" s="6"/>
      <c r="F902" s="6"/>
      <c r="G902" s="6"/>
      <c r="H902" s="6"/>
      <c r="I902" s="6"/>
      <c r="J902" s="6"/>
      <c r="K902" s="6"/>
    </row>
    <row r="903" spans="1:11" x14ac:dyDescent="0.25">
      <c r="A903" s="6"/>
      <c r="B903" s="6"/>
      <c r="C903" s="6"/>
      <c r="D903" s="6"/>
      <c r="E903" s="6"/>
      <c r="F903" s="6"/>
      <c r="G903" s="6"/>
      <c r="H903" s="6"/>
      <c r="I903" s="6"/>
      <c r="J903" s="6"/>
      <c r="K903" s="6"/>
    </row>
    <row r="904" spans="1:11" x14ac:dyDescent="0.25">
      <c r="A904" s="6"/>
      <c r="B904" s="6"/>
      <c r="C904" s="6"/>
      <c r="D904" s="6"/>
      <c r="E904" s="6"/>
      <c r="F904" s="6"/>
      <c r="G904" s="6"/>
      <c r="H904" s="6"/>
      <c r="I904" s="6"/>
      <c r="J904" s="6"/>
      <c r="K904" s="6"/>
    </row>
    <row r="905" spans="1:11" x14ac:dyDescent="0.25">
      <c r="A905" s="6"/>
      <c r="B905" s="6"/>
      <c r="C905" s="6"/>
      <c r="D905" s="6"/>
      <c r="E905" s="6"/>
      <c r="F905" s="6"/>
      <c r="G905" s="6"/>
      <c r="H905" s="6"/>
      <c r="I905" s="6"/>
      <c r="J905" s="6"/>
      <c r="K905" s="6"/>
    </row>
    <row r="906" spans="1:11" x14ac:dyDescent="0.25">
      <c r="A906" s="6"/>
      <c r="B906" s="6"/>
      <c r="C906" s="6"/>
      <c r="D906" s="6"/>
      <c r="E906" s="6"/>
      <c r="F906" s="6"/>
      <c r="G906" s="6"/>
      <c r="H906" s="6"/>
      <c r="I906" s="6"/>
      <c r="J906" s="6"/>
      <c r="K906" s="6"/>
    </row>
    <row r="907" spans="1:11" x14ac:dyDescent="0.25">
      <c r="A907" s="6"/>
      <c r="B907" s="6"/>
      <c r="C907" s="6"/>
      <c r="D907" s="6"/>
      <c r="E907" s="6"/>
      <c r="F907" s="6"/>
      <c r="G907" s="6"/>
      <c r="H907" s="6"/>
      <c r="I907" s="6"/>
      <c r="J907" s="6"/>
      <c r="K907" s="6"/>
    </row>
    <row r="908" spans="1:11" x14ac:dyDescent="0.25">
      <c r="A908" s="6"/>
      <c r="B908" s="6"/>
      <c r="C908" s="6"/>
      <c r="D908" s="6"/>
      <c r="E908" s="6"/>
      <c r="F908" s="6"/>
      <c r="G908" s="6"/>
      <c r="H908" s="6"/>
      <c r="I908" s="6"/>
      <c r="J908" s="6"/>
      <c r="K908" s="6"/>
    </row>
    <row r="909" spans="1:11" x14ac:dyDescent="0.25">
      <c r="A909" s="6"/>
      <c r="B909" s="6"/>
      <c r="C909" s="6"/>
      <c r="D909" s="6"/>
      <c r="E909" s="6"/>
      <c r="F909" s="6"/>
      <c r="G909" s="6"/>
      <c r="H909" s="6"/>
      <c r="I909" s="6"/>
      <c r="J909" s="6"/>
      <c r="K909" s="6"/>
    </row>
    <row r="910" spans="1:11" x14ac:dyDescent="0.25">
      <c r="A910" s="6"/>
      <c r="B910" s="6"/>
      <c r="C910" s="6"/>
      <c r="D910" s="6"/>
      <c r="E910" s="6"/>
      <c r="F910" s="6"/>
      <c r="G910" s="6"/>
      <c r="H910" s="6"/>
      <c r="I910" s="6"/>
      <c r="J910" s="6"/>
      <c r="K910" s="6"/>
    </row>
    <row r="911" spans="1:11" x14ac:dyDescent="0.25">
      <c r="A911" s="6"/>
      <c r="B911" s="6"/>
      <c r="C911" s="6"/>
      <c r="D911" s="6"/>
      <c r="E911" s="6"/>
      <c r="F911" s="6"/>
      <c r="G911" s="6"/>
      <c r="H911" s="6"/>
      <c r="I911" s="6"/>
      <c r="J911" s="6"/>
      <c r="K911" s="6"/>
    </row>
    <row r="912" spans="1:11" x14ac:dyDescent="0.25">
      <c r="A912" s="6"/>
      <c r="B912" s="6"/>
      <c r="C912" s="6"/>
      <c r="D912" s="6"/>
      <c r="E912" s="6"/>
      <c r="F912" s="6"/>
      <c r="G912" s="6"/>
      <c r="H912" s="6"/>
      <c r="I912" s="6"/>
      <c r="J912" s="6"/>
      <c r="K912" s="6"/>
    </row>
    <row r="913" spans="1:11" x14ac:dyDescent="0.25">
      <c r="A913" s="6"/>
      <c r="B913" s="6"/>
      <c r="C913" s="6"/>
      <c r="D913" s="6"/>
      <c r="E913" s="6"/>
      <c r="F913" s="6"/>
      <c r="G913" s="6"/>
      <c r="H913" s="6"/>
      <c r="I913" s="6"/>
      <c r="J913" s="6"/>
      <c r="K913" s="6"/>
    </row>
    <row r="914" spans="1:11" x14ac:dyDescent="0.25">
      <c r="A914" s="6"/>
      <c r="B914" s="6"/>
      <c r="C914" s="6"/>
      <c r="D914" s="6"/>
      <c r="E914" s="6"/>
      <c r="F914" s="6"/>
      <c r="G914" s="6"/>
      <c r="H914" s="6"/>
      <c r="I914" s="6"/>
      <c r="J914" s="6"/>
      <c r="K914" s="6"/>
    </row>
    <row r="915" spans="1:11" x14ac:dyDescent="0.25">
      <c r="A915" s="6"/>
      <c r="B915" s="6"/>
      <c r="C915" s="6"/>
      <c r="D915" s="6"/>
      <c r="E915" s="6"/>
      <c r="F915" s="6"/>
      <c r="G915" s="6"/>
      <c r="H915" s="6"/>
      <c r="I915" s="6"/>
      <c r="J915" s="6"/>
      <c r="K915" s="6"/>
    </row>
    <row r="916" spans="1:11" x14ac:dyDescent="0.25">
      <c r="A916" s="6"/>
      <c r="B916" s="6"/>
      <c r="C916" s="6"/>
      <c r="D916" s="6"/>
      <c r="E916" s="6"/>
      <c r="F916" s="6"/>
      <c r="G916" s="6"/>
      <c r="H916" s="6"/>
      <c r="I916" s="6"/>
      <c r="J916" s="6"/>
      <c r="K916" s="6"/>
    </row>
    <row r="917" spans="1:11" x14ac:dyDescent="0.25">
      <c r="A917" s="6"/>
      <c r="B917" s="6"/>
      <c r="C917" s="6"/>
      <c r="D917" s="6"/>
      <c r="E917" s="6"/>
      <c r="F917" s="6"/>
      <c r="G917" s="6"/>
      <c r="H917" s="6"/>
      <c r="I917" s="6"/>
      <c r="J917" s="6"/>
      <c r="K917" s="6"/>
    </row>
    <row r="918" spans="1:11" x14ac:dyDescent="0.25">
      <c r="A918" s="6"/>
      <c r="B918" s="6"/>
      <c r="C918" s="6"/>
      <c r="D918" s="6"/>
      <c r="E918" s="6"/>
      <c r="F918" s="6"/>
      <c r="G918" s="6"/>
      <c r="H918" s="6"/>
      <c r="I918" s="6"/>
      <c r="J918" s="6"/>
      <c r="K918" s="6"/>
    </row>
    <row r="919" spans="1:11" x14ac:dyDescent="0.25">
      <c r="A919" s="6"/>
      <c r="B919" s="6"/>
      <c r="C919" s="6"/>
      <c r="D919" s="6"/>
      <c r="E919" s="6"/>
      <c r="F919" s="6"/>
      <c r="G919" s="6"/>
      <c r="H919" s="6"/>
      <c r="I919" s="6"/>
      <c r="J919" s="6"/>
      <c r="K919" s="6"/>
    </row>
    <row r="920" spans="1:11" x14ac:dyDescent="0.25">
      <c r="A920" s="6"/>
      <c r="B920" s="6"/>
      <c r="C920" s="6"/>
      <c r="D920" s="6"/>
      <c r="E920" s="6"/>
      <c r="F920" s="6"/>
      <c r="G920" s="6"/>
      <c r="H920" s="6"/>
      <c r="I920" s="6"/>
      <c r="J920" s="6"/>
      <c r="K920" s="6"/>
    </row>
    <row r="921" spans="1:11" x14ac:dyDescent="0.25">
      <c r="A921" s="6"/>
      <c r="B921" s="6"/>
      <c r="C921" s="6"/>
      <c r="D921" s="6"/>
      <c r="E921" s="6"/>
      <c r="F921" s="6"/>
      <c r="G921" s="6"/>
      <c r="H921" s="6"/>
      <c r="I921" s="6"/>
      <c r="J921" s="6"/>
      <c r="K921" s="6"/>
    </row>
    <row r="922" spans="1:11" x14ac:dyDescent="0.25">
      <c r="A922" s="6"/>
      <c r="B922" s="6"/>
      <c r="C922" s="6"/>
      <c r="D922" s="6"/>
      <c r="E922" s="6"/>
      <c r="F922" s="6"/>
      <c r="G922" s="6"/>
      <c r="H922" s="6"/>
      <c r="I922" s="6"/>
      <c r="J922" s="6"/>
      <c r="K922" s="6"/>
    </row>
    <row r="923" spans="1:11" x14ac:dyDescent="0.25">
      <c r="A923" s="6"/>
      <c r="B923" s="6"/>
      <c r="C923" s="6"/>
      <c r="D923" s="6"/>
      <c r="E923" s="6"/>
      <c r="F923" s="6"/>
      <c r="G923" s="6"/>
      <c r="H923" s="6"/>
      <c r="I923" s="6"/>
      <c r="J923" s="6"/>
      <c r="K923" s="6"/>
    </row>
    <row r="924" spans="1:11" x14ac:dyDescent="0.25">
      <c r="A924" s="6"/>
      <c r="B924" s="6"/>
      <c r="C924" s="6"/>
      <c r="D924" s="6"/>
      <c r="E924" s="6"/>
      <c r="F924" s="6"/>
      <c r="G924" s="6"/>
      <c r="H924" s="6"/>
      <c r="I924" s="6"/>
      <c r="J924" s="6"/>
      <c r="K924" s="6"/>
    </row>
    <row r="925" spans="1:11" x14ac:dyDescent="0.25">
      <c r="A925" s="6"/>
      <c r="B925" s="6"/>
      <c r="C925" s="6"/>
      <c r="D925" s="6"/>
      <c r="E925" s="6"/>
      <c r="F925" s="6"/>
      <c r="G925" s="6"/>
      <c r="H925" s="6"/>
      <c r="I925" s="6"/>
      <c r="J925" s="6"/>
      <c r="K925" s="6"/>
    </row>
    <row r="926" spans="1:11" x14ac:dyDescent="0.25">
      <c r="A926" s="6"/>
      <c r="B926" s="6"/>
      <c r="C926" s="6"/>
      <c r="D926" s="6"/>
      <c r="E926" s="6"/>
      <c r="F926" s="6"/>
      <c r="G926" s="6"/>
      <c r="H926" s="6"/>
      <c r="I926" s="6"/>
      <c r="J926" s="6"/>
      <c r="K926" s="6"/>
    </row>
    <row r="927" spans="1:11" x14ac:dyDescent="0.25">
      <c r="A927" s="6"/>
      <c r="B927" s="6"/>
      <c r="C927" s="6"/>
      <c r="D927" s="6"/>
      <c r="E927" s="6"/>
      <c r="F927" s="6"/>
      <c r="G927" s="6"/>
      <c r="H927" s="6"/>
      <c r="I927" s="6"/>
      <c r="J927" s="6"/>
      <c r="K927" s="6"/>
    </row>
    <row r="928" spans="1:11" x14ac:dyDescent="0.25">
      <c r="A928" s="6"/>
      <c r="B928" s="6"/>
      <c r="C928" s="6"/>
      <c r="D928" s="6"/>
      <c r="E928" s="6"/>
      <c r="F928" s="6"/>
      <c r="G928" s="6"/>
      <c r="H928" s="6"/>
      <c r="I928" s="6"/>
      <c r="J928" s="6"/>
      <c r="K928" s="6"/>
    </row>
    <row r="929" spans="1:11" x14ac:dyDescent="0.25">
      <c r="A929" s="6"/>
      <c r="B929" s="6"/>
      <c r="C929" s="6"/>
      <c r="D929" s="6"/>
      <c r="E929" s="6"/>
      <c r="F929" s="6"/>
      <c r="G929" s="6"/>
      <c r="H929" s="6"/>
      <c r="I929" s="6"/>
      <c r="J929" s="6"/>
      <c r="K929" s="6"/>
    </row>
    <row r="930" spans="1:11" x14ac:dyDescent="0.25">
      <c r="A930" s="6"/>
      <c r="B930" s="6"/>
      <c r="C930" s="6"/>
      <c r="D930" s="6"/>
      <c r="E930" s="6"/>
      <c r="F930" s="6"/>
      <c r="G930" s="6"/>
      <c r="H930" s="6"/>
      <c r="I930" s="6"/>
      <c r="J930" s="6"/>
      <c r="K930" s="6"/>
    </row>
    <row r="931" spans="1:11" x14ac:dyDescent="0.25">
      <c r="A931" s="6"/>
      <c r="B931" s="6"/>
      <c r="C931" s="6"/>
      <c r="D931" s="6"/>
      <c r="E931" s="6"/>
      <c r="F931" s="6"/>
      <c r="G931" s="6"/>
      <c r="H931" s="6"/>
      <c r="I931" s="6"/>
      <c r="J931" s="6"/>
      <c r="K931" s="6"/>
    </row>
    <row r="932" spans="1:11" x14ac:dyDescent="0.25">
      <c r="A932" s="6"/>
      <c r="B932" s="6"/>
      <c r="C932" s="6"/>
      <c r="D932" s="6"/>
      <c r="E932" s="6"/>
      <c r="F932" s="6"/>
      <c r="G932" s="6"/>
      <c r="H932" s="6"/>
      <c r="I932" s="6"/>
      <c r="J932" s="6"/>
      <c r="K932" s="6"/>
    </row>
    <row r="933" spans="1:11" x14ac:dyDescent="0.25">
      <c r="A933" s="6"/>
      <c r="B933" s="6"/>
      <c r="C933" s="6"/>
      <c r="D933" s="6"/>
      <c r="E933" s="6"/>
      <c r="F933" s="6"/>
      <c r="G933" s="6"/>
      <c r="H933" s="6"/>
      <c r="I933" s="6"/>
      <c r="J933" s="6"/>
      <c r="K933" s="6"/>
    </row>
    <row r="934" spans="1:11" x14ac:dyDescent="0.25">
      <c r="A934" s="6"/>
      <c r="B934" s="6"/>
      <c r="C934" s="6"/>
      <c r="D934" s="6"/>
      <c r="E934" s="6"/>
      <c r="F934" s="6"/>
      <c r="G934" s="6"/>
      <c r="H934" s="6"/>
      <c r="I934" s="6"/>
      <c r="J934" s="6"/>
      <c r="K934" s="6"/>
    </row>
    <row r="935" spans="1:11" x14ac:dyDescent="0.25">
      <c r="A935" s="6"/>
      <c r="B935" s="6"/>
      <c r="C935" s="6"/>
      <c r="D935" s="6"/>
      <c r="E935" s="6"/>
      <c r="F935" s="6"/>
      <c r="G935" s="6"/>
      <c r="H935" s="6"/>
      <c r="I935" s="6"/>
      <c r="J935" s="6"/>
      <c r="K935" s="6"/>
    </row>
    <row r="936" spans="1:11" x14ac:dyDescent="0.25">
      <c r="A936" s="6"/>
      <c r="B936" s="6"/>
      <c r="C936" s="6"/>
      <c r="D936" s="6"/>
      <c r="E936" s="6"/>
      <c r="F936" s="6"/>
      <c r="G936" s="6"/>
      <c r="H936" s="6"/>
      <c r="I936" s="6"/>
      <c r="J936" s="6"/>
      <c r="K936" s="6"/>
    </row>
    <row r="937" spans="1:11" x14ac:dyDescent="0.25">
      <c r="A937" s="6"/>
      <c r="B937" s="6"/>
      <c r="C937" s="6"/>
      <c r="D937" s="6"/>
      <c r="E937" s="6"/>
      <c r="F937" s="6"/>
      <c r="G937" s="6"/>
      <c r="H937" s="6"/>
      <c r="I937" s="6"/>
      <c r="J937" s="6"/>
      <c r="K937" s="6"/>
    </row>
    <row r="938" spans="1:11" x14ac:dyDescent="0.25">
      <c r="A938" s="6"/>
      <c r="B938" s="6"/>
      <c r="C938" s="6"/>
      <c r="D938" s="6"/>
      <c r="E938" s="6"/>
      <c r="F938" s="6"/>
      <c r="G938" s="6"/>
      <c r="H938" s="6"/>
      <c r="I938" s="6"/>
      <c r="J938" s="6"/>
      <c r="K938" s="6"/>
    </row>
    <row r="939" spans="1:11" x14ac:dyDescent="0.25">
      <c r="A939" s="6"/>
      <c r="B939" s="6"/>
      <c r="C939" s="6"/>
      <c r="D939" s="6"/>
      <c r="E939" s="6"/>
      <c r="F939" s="6"/>
      <c r="G939" s="6"/>
      <c r="H939" s="6"/>
      <c r="I939" s="6"/>
      <c r="J939" s="6"/>
      <c r="K939" s="6"/>
    </row>
    <row r="940" spans="1:11" x14ac:dyDescent="0.25">
      <c r="A940" s="6"/>
      <c r="B940" s="6"/>
      <c r="C940" s="6"/>
      <c r="D940" s="6"/>
      <c r="E940" s="6"/>
      <c r="F940" s="6"/>
      <c r="G940" s="6"/>
      <c r="H940" s="6"/>
      <c r="I940" s="6"/>
      <c r="J940" s="6"/>
      <c r="K940" s="6"/>
    </row>
    <row r="941" spans="1:11" x14ac:dyDescent="0.25">
      <c r="A941" s="6"/>
      <c r="B941" s="6"/>
      <c r="C941" s="6"/>
      <c r="D941" s="6"/>
      <c r="E941" s="6"/>
      <c r="F941" s="6"/>
      <c r="G941" s="6"/>
      <c r="H941" s="6"/>
      <c r="I941" s="6"/>
      <c r="J941" s="6"/>
      <c r="K941" s="6"/>
    </row>
    <row r="942" spans="1:11" x14ac:dyDescent="0.25">
      <c r="A942" s="6"/>
      <c r="B942" s="6"/>
      <c r="C942" s="6"/>
      <c r="D942" s="6"/>
      <c r="E942" s="6"/>
      <c r="F942" s="6"/>
      <c r="G942" s="6"/>
      <c r="H942" s="6"/>
      <c r="I942" s="6"/>
      <c r="J942" s="6"/>
      <c r="K942" s="6"/>
    </row>
    <row r="943" spans="1:11" x14ac:dyDescent="0.25">
      <c r="A943" s="6"/>
      <c r="B943" s="6"/>
      <c r="C943" s="6"/>
      <c r="D943" s="6"/>
      <c r="E943" s="6"/>
      <c r="F943" s="6"/>
      <c r="G943" s="6"/>
      <c r="H943" s="6"/>
      <c r="I943" s="6"/>
      <c r="J943" s="6"/>
      <c r="K943" s="6"/>
    </row>
    <row r="944" spans="1:11" x14ac:dyDescent="0.25">
      <c r="A944" s="6"/>
      <c r="B944" s="6"/>
      <c r="C944" s="6"/>
      <c r="D944" s="6"/>
      <c r="E944" s="6"/>
      <c r="F944" s="6"/>
      <c r="G944" s="6"/>
      <c r="H944" s="6"/>
      <c r="I944" s="6"/>
      <c r="J944" s="6"/>
      <c r="K944" s="6"/>
    </row>
    <row r="945" spans="1:11" x14ac:dyDescent="0.25">
      <c r="A945" s="6"/>
      <c r="B945" s="6"/>
      <c r="C945" s="6"/>
      <c r="D945" s="6"/>
      <c r="E945" s="6"/>
      <c r="F945" s="6"/>
      <c r="G945" s="6"/>
      <c r="H945" s="6"/>
      <c r="I945" s="6"/>
      <c r="J945" s="6"/>
      <c r="K945" s="6"/>
    </row>
    <row r="946" spans="1:11" x14ac:dyDescent="0.25">
      <c r="A946" s="6"/>
      <c r="B946" s="6"/>
      <c r="C946" s="6"/>
      <c r="D946" s="6"/>
      <c r="E946" s="6"/>
      <c r="F946" s="6"/>
      <c r="G946" s="6"/>
      <c r="H946" s="6"/>
      <c r="I946" s="6"/>
      <c r="J946" s="6"/>
      <c r="K946" s="6"/>
    </row>
    <row r="947" spans="1:11" x14ac:dyDescent="0.25">
      <c r="A947" s="6"/>
      <c r="B947" s="6"/>
      <c r="C947" s="6"/>
      <c r="D947" s="6"/>
      <c r="E947" s="6"/>
      <c r="F947" s="6"/>
      <c r="G947" s="6"/>
      <c r="H947" s="6"/>
      <c r="I947" s="6"/>
      <c r="J947" s="6"/>
      <c r="K947" s="6"/>
    </row>
    <row r="948" spans="1:11" x14ac:dyDescent="0.25">
      <c r="A948" s="6"/>
      <c r="B948" s="6"/>
      <c r="C948" s="6"/>
      <c r="D948" s="6"/>
      <c r="E948" s="6"/>
      <c r="F948" s="6"/>
      <c r="G948" s="6"/>
      <c r="H948" s="6"/>
      <c r="I948" s="6"/>
      <c r="J948" s="6"/>
      <c r="K948" s="6"/>
    </row>
    <row r="949" spans="1:11" x14ac:dyDescent="0.25">
      <c r="A949" s="6"/>
      <c r="B949" s="6"/>
      <c r="C949" s="6"/>
      <c r="D949" s="6"/>
      <c r="E949" s="6"/>
      <c r="F949" s="6"/>
      <c r="G949" s="6"/>
      <c r="H949" s="6"/>
      <c r="I949" s="6"/>
      <c r="J949" s="6"/>
      <c r="K949" s="6"/>
    </row>
    <row r="950" spans="1:11" x14ac:dyDescent="0.25">
      <c r="A950" s="6"/>
      <c r="B950" s="6"/>
      <c r="C950" s="6"/>
      <c r="D950" s="6"/>
      <c r="E950" s="6"/>
      <c r="F950" s="6"/>
      <c r="G950" s="6"/>
      <c r="H950" s="6"/>
      <c r="I950" s="6"/>
      <c r="J950" s="6"/>
      <c r="K950" s="6"/>
    </row>
    <row r="951" spans="1:11" x14ac:dyDescent="0.25">
      <c r="A951" s="6"/>
      <c r="B951" s="6"/>
      <c r="C951" s="6"/>
      <c r="D951" s="6"/>
      <c r="E951" s="6"/>
      <c r="F951" s="6"/>
      <c r="G951" s="6"/>
      <c r="H951" s="6"/>
      <c r="I951" s="6"/>
      <c r="J951" s="6"/>
      <c r="K951" s="6"/>
    </row>
    <row r="952" spans="1:11" x14ac:dyDescent="0.25">
      <c r="A952" s="6"/>
      <c r="B952" s="6"/>
      <c r="C952" s="6"/>
      <c r="D952" s="6"/>
      <c r="E952" s="6"/>
      <c r="F952" s="6"/>
      <c r="G952" s="6"/>
      <c r="H952" s="6"/>
      <c r="I952" s="6"/>
      <c r="J952" s="6"/>
      <c r="K952" s="6"/>
    </row>
    <row r="953" spans="1:11" x14ac:dyDescent="0.25">
      <c r="A953" s="6"/>
      <c r="B953" s="6"/>
      <c r="C953" s="6"/>
      <c r="D953" s="6"/>
      <c r="E953" s="6"/>
      <c r="F953" s="6"/>
      <c r="G953" s="6"/>
      <c r="H953" s="6"/>
      <c r="I953" s="6"/>
      <c r="J953" s="6"/>
      <c r="K953" s="6"/>
    </row>
    <row r="954" spans="1:11" x14ac:dyDescent="0.25">
      <c r="A954" s="6"/>
      <c r="B954" s="6"/>
      <c r="C954" s="6"/>
      <c r="D954" s="6"/>
      <c r="E954" s="6"/>
      <c r="F954" s="6"/>
      <c r="G954" s="6"/>
      <c r="H954" s="6"/>
      <c r="I954" s="6"/>
      <c r="J954" s="6"/>
      <c r="K954" s="6"/>
    </row>
    <row r="955" spans="1:11" x14ac:dyDescent="0.25">
      <c r="A955" s="6"/>
      <c r="B955" s="6"/>
      <c r="C955" s="6"/>
      <c r="D955" s="6"/>
      <c r="E955" s="6"/>
      <c r="F955" s="6"/>
      <c r="G955" s="6"/>
      <c r="H955" s="6"/>
      <c r="I955" s="6"/>
      <c r="J955" s="6"/>
      <c r="K955" s="6"/>
    </row>
    <row r="956" spans="1:11" x14ac:dyDescent="0.25">
      <c r="A956" s="6"/>
      <c r="B956" s="6"/>
      <c r="C956" s="6"/>
      <c r="D956" s="6"/>
      <c r="E956" s="6"/>
      <c r="F956" s="6"/>
      <c r="G956" s="6"/>
      <c r="H956" s="6"/>
      <c r="I956" s="6"/>
      <c r="J956" s="6"/>
      <c r="K956" s="6"/>
    </row>
    <row r="957" spans="1:11" x14ac:dyDescent="0.25">
      <c r="A957" s="6"/>
      <c r="B957" s="6"/>
      <c r="C957" s="6"/>
      <c r="D957" s="6"/>
      <c r="E957" s="6"/>
      <c r="F957" s="6"/>
      <c r="G957" s="6"/>
      <c r="H957" s="6"/>
      <c r="I957" s="6"/>
      <c r="J957" s="6"/>
      <c r="K957" s="6"/>
    </row>
    <row r="958" spans="1:11" x14ac:dyDescent="0.25">
      <c r="A958" s="6"/>
      <c r="B958" s="6"/>
      <c r="C958" s="6"/>
      <c r="D958" s="6"/>
      <c r="E958" s="6"/>
      <c r="F958" s="6"/>
      <c r="G958" s="6"/>
      <c r="H958" s="6"/>
      <c r="I958" s="6"/>
      <c r="J958" s="6"/>
      <c r="K958" s="6"/>
    </row>
    <row r="959" spans="1:11" x14ac:dyDescent="0.25">
      <c r="A959" s="6"/>
      <c r="B959" s="6"/>
      <c r="C959" s="6"/>
      <c r="D959" s="6"/>
      <c r="E959" s="6"/>
      <c r="F959" s="6"/>
      <c r="G959" s="6"/>
      <c r="H959" s="6"/>
      <c r="I959" s="6"/>
      <c r="J959" s="6"/>
      <c r="K959" s="6"/>
    </row>
    <row r="960" spans="1:11" x14ac:dyDescent="0.25">
      <c r="A960" s="6"/>
      <c r="B960" s="6"/>
      <c r="C960" s="6"/>
      <c r="D960" s="6"/>
      <c r="E960" s="6"/>
      <c r="F960" s="6"/>
      <c r="G960" s="6"/>
      <c r="H960" s="6"/>
      <c r="I960" s="6"/>
      <c r="J960" s="6"/>
      <c r="K960" s="6"/>
    </row>
    <row r="961" spans="1:11" x14ac:dyDescent="0.25">
      <c r="A961" s="6"/>
      <c r="B961" s="6"/>
      <c r="C961" s="6"/>
      <c r="D961" s="6"/>
      <c r="E961" s="6"/>
      <c r="F961" s="6"/>
      <c r="G961" s="6"/>
      <c r="H961" s="6"/>
      <c r="I961" s="6"/>
      <c r="J961" s="6"/>
      <c r="K961" s="6"/>
    </row>
    <row r="962" spans="1:11" x14ac:dyDescent="0.25">
      <c r="A962" s="6"/>
      <c r="B962" s="6"/>
      <c r="C962" s="6"/>
      <c r="D962" s="6"/>
      <c r="E962" s="6"/>
      <c r="F962" s="6"/>
      <c r="G962" s="6"/>
      <c r="H962" s="6"/>
      <c r="I962" s="6"/>
      <c r="J962" s="6"/>
      <c r="K962" s="6"/>
    </row>
    <row r="963" spans="1:11" x14ac:dyDescent="0.25">
      <c r="A963" s="6"/>
      <c r="B963" s="6"/>
      <c r="C963" s="6"/>
      <c r="D963" s="6"/>
      <c r="E963" s="6"/>
      <c r="F963" s="6"/>
      <c r="G963" s="6"/>
      <c r="H963" s="6"/>
      <c r="I963" s="6"/>
      <c r="J963" s="6"/>
      <c r="K963" s="6"/>
    </row>
    <row r="964" spans="1:11" x14ac:dyDescent="0.25">
      <c r="A964" s="6"/>
      <c r="B964" s="6"/>
      <c r="C964" s="6"/>
      <c r="D964" s="6"/>
      <c r="E964" s="6"/>
      <c r="F964" s="6"/>
      <c r="G964" s="6"/>
      <c r="H964" s="6"/>
      <c r="I964" s="6"/>
      <c r="J964" s="6"/>
      <c r="K964" s="6"/>
    </row>
    <row r="965" spans="1:11" x14ac:dyDescent="0.25">
      <c r="A965" s="6"/>
      <c r="B965" s="6"/>
      <c r="C965" s="6"/>
      <c r="D965" s="6"/>
      <c r="E965" s="6"/>
      <c r="F965" s="6"/>
      <c r="G965" s="6"/>
      <c r="H965" s="6"/>
      <c r="I965" s="6"/>
      <c r="J965" s="6"/>
      <c r="K965" s="6"/>
    </row>
    <row r="966" spans="1:11" x14ac:dyDescent="0.25">
      <c r="A966" s="6"/>
      <c r="B966" s="6"/>
      <c r="C966" s="6"/>
      <c r="D966" s="6"/>
      <c r="E966" s="6"/>
      <c r="F966" s="6"/>
      <c r="G966" s="6"/>
      <c r="H966" s="6"/>
      <c r="I966" s="6"/>
      <c r="J966" s="6"/>
      <c r="K966" s="6"/>
    </row>
    <row r="967" spans="1:11" x14ac:dyDescent="0.25">
      <c r="A967" s="6"/>
      <c r="B967" s="6"/>
      <c r="C967" s="6"/>
      <c r="D967" s="6"/>
      <c r="E967" s="6"/>
      <c r="F967" s="6"/>
      <c r="G967" s="6"/>
      <c r="H967" s="6"/>
      <c r="I967" s="6"/>
      <c r="J967" s="6"/>
      <c r="K967" s="6"/>
    </row>
    <row r="968" spans="1:11" x14ac:dyDescent="0.25">
      <c r="A968" s="6"/>
      <c r="B968" s="6"/>
      <c r="C968" s="6"/>
      <c r="D968" s="6"/>
      <c r="E968" s="6"/>
      <c r="F968" s="6"/>
      <c r="G968" s="6"/>
      <c r="H968" s="6"/>
      <c r="I968" s="6"/>
      <c r="J968" s="6"/>
      <c r="K968" s="6"/>
    </row>
    <row r="969" spans="1:11" x14ac:dyDescent="0.25">
      <c r="A969" s="6"/>
      <c r="B969" s="6"/>
      <c r="C969" s="6"/>
      <c r="D969" s="6"/>
      <c r="E969" s="6"/>
      <c r="F969" s="6"/>
      <c r="G969" s="6"/>
      <c r="H969" s="6"/>
      <c r="I969" s="6"/>
      <c r="J969" s="6"/>
      <c r="K969" s="6"/>
    </row>
    <row r="970" spans="1:11" x14ac:dyDescent="0.25">
      <c r="A970" s="6"/>
      <c r="B970" s="6"/>
      <c r="C970" s="6"/>
      <c r="D970" s="6"/>
      <c r="E970" s="6"/>
      <c r="F970" s="6"/>
      <c r="G970" s="6"/>
      <c r="H970" s="6"/>
      <c r="I970" s="6"/>
      <c r="J970" s="6"/>
      <c r="K970" s="6"/>
    </row>
    <row r="971" spans="1:11" x14ac:dyDescent="0.25">
      <c r="A971" s="6"/>
      <c r="B971" s="6"/>
      <c r="C971" s="6"/>
      <c r="D971" s="6"/>
      <c r="E971" s="6"/>
      <c r="F971" s="6"/>
      <c r="G971" s="6"/>
      <c r="H971" s="6"/>
      <c r="I971" s="6"/>
      <c r="J971" s="6"/>
      <c r="K971" s="6"/>
    </row>
    <row r="972" spans="1:11" x14ac:dyDescent="0.25">
      <c r="A972" s="6"/>
      <c r="B972" s="6"/>
      <c r="C972" s="6"/>
      <c r="D972" s="6"/>
      <c r="E972" s="6"/>
      <c r="F972" s="6"/>
      <c r="G972" s="6"/>
      <c r="H972" s="6"/>
      <c r="I972" s="6"/>
      <c r="J972" s="6"/>
      <c r="K972" s="6"/>
    </row>
    <row r="973" spans="1:11" x14ac:dyDescent="0.25">
      <c r="A973" s="6"/>
      <c r="B973" s="6"/>
      <c r="C973" s="6"/>
      <c r="D973" s="6"/>
      <c r="E973" s="6"/>
      <c r="F973" s="6"/>
      <c r="G973" s="6"/>
      <c r="H973" s="6"/>
      <c r="I973" s="6"/>
      <c r="J973" s="6"/>
      <c r="K973" s="6"/>
    </row>
    <row r="974" spans="1:11" x14ac:dyDescent="0.25">
      <c r="A974" s="6"/>
      <c r="B974" s="6"/>
      <c r="C974" s="6"/>
      <c r="D974" s="6"/>
      <c r="E974" s="6"/>
      <c r="F974" s="6"/>
      <c r="G974" s="6"/>
      <c r="H974" s="6"/>
      <c r="I974" s="6"/>
      <c r="J974" s="6"/>
      <c r="K974" s="6"/>
    </row>
    <row r="975" spans="1:11" x14ac:dyDescent="0.25">
      <c r="A975" s="6"/>
      <c r="B975" s="6"/>
      <c r="C975" s="6"/>
      <c r="D975" s="6"/>
      <c r="E975" s="6"/>
      <c r="F975" s="6"/>
      <c r="G975" s="6"/>
      <c r="H975" s="6"/>
      <c r="I975" s="6"/>
      <c r="J975" s="6"/>
      <c r="K975" s="6"/>
    </row>
    <row r="976" spans="1:11" x14ac:dyDescent="0.25">
      <c r="A976" s="6"/>
      <c r="B976" s="6"/>
      <c r="C976" s="6"/>
      <c r="D976" s="6"/>
      <c r="E976" s="6"/>
      <c r="F976" s="6"/>
      <c r="G976" s="6"/>
      <c r="H976" s="6"/>
      <c r="I976" s="6"/>
      <c r="J976" s="6"/>
      <c r="K976" s="6"/>
    </row>
    <row r="977" spans="1:11" x14ac:dyDescent="0.25">
      <c r="A977" s="6"/>
      <c r="B977" s="6"/>
      <c r="C977" s="6"/>
      <c r="D977" s="6"/>
      <c r="E977" s="6"/>
      <c r="F977" s="6"/>
      <c r="G977" s="6"/>
      <c r="H977" s="6"/>
      <c r="I977" s="6"/>
      <c r="J977" s="6"/>
      <c r="K977" s="6"/>
    </row>
    <row r="978" spans="1:11" x14ac:dyDescent="0.25">
      <c r="A978" s="6"/>
      <c r="B978" s="6"/>
      <c r="C978" s="6"/>
      <c r="D978" s="6"/>
      <c r="E978" s="6"/>
      <c r="F978" s="6"/>
      <c r="G978" s="6"/>
      <c r="H978" s="6"/>
      <c r="I978" s="6"/>
      <c r="J978" s="6"/>
      <c r="K978" s="6"/>
    </row>
    <row r="979" spans="1:11" x14ac:dyDescent="0.25">
      <c r="A979" s="6"/>
      <c r="B979" s="6"/>
      <c r="C979" s="6"/>
      <c r="D979" s="6"/>
      <c r="E979" s="6"/>
      <c r="F979" s="6"/>
      <c r="G979" s="6"/>
      <c r="H979" s="6"/>
      <c r="I979" s="6"/>
      <c r="J979" s="6"/>
      <c r="K979" s="6"/>
    </row>
    <row r="980" spans="1:11" x14ac:dyDescent="0.25">
      <c r="A980" s="6"/>
      <c r="B980" s="6"/>
      <c r="C980" s="6"/>
      <c r="D980" s="6"/>
      <c r="E980" s="6"/>
      <c r="F980" s="6"/>
      <c r="G980" s="6"/>
      <c r="H980" s="6"/>
      <c r="I980" s="6"/>
      <c r="J980" s="6"/>
      <c r="K980" s="6"/>
    </row>
    <row r="981" spans="1:11" x14ac:dyDescent="0.25">
      <c r="A981" s="6"/>
      <c r="B981" s="6"/>
      <c r="C981" s="6"/>
      <c r="D981" s="6"/>
      <c r="E981" s="6"/>
      <c r="F981" s="6"/>
      <c r="G981" s="6"/>
      <c r="H981" s="6"/>
      <c r="I981" s="6"/>
      <c r="J981" s="6"/>
      <c r="K981" s="6"/>
    </row>
    <row r="982" spans="1:11" x14ac:dyDescent="0.25">
      <c r="A982" s="6"/>
      <c r="B982" s="6"/>
      <c r="C982" s="6"/>
      <c r="D982" s="6"/>
      <c r="E982" s="6"/>
      <c r="F982" s="6"/>
      <c r="G982" s="6"/>
      <c r="H982" s="6"/>
      <c r="I982" s="6"/>
      <c r="J982" s="6"/>
      <c r="K982" s="6"/>
    </row>
    <row r="983" spans="1:11" x14ac:dyDescent="0.25">
      <c r="A983" s="6"/>
      <c r="B983" s="6"/>
      <c r="C983" s="6"/>
      <c r="D983" s="6"/>
      <c r="E983" s="6"/>
      <c r="F983" s="6"/>
      <c r="G983" s="6"/>
      <c r="H983" s="6"/>
      <c r="I983" s="6"/>
      <c r="J983" s="6"/>
      <c r="K983" s="6"/>
    </row>
    <row r="984" spans="1:11" x14ac:dyDescent="0.25">
      <c r="A984" s="6"/>
      <c r="B984" s="6"/>
      <c r="C984" s="6"/>
      <c r="D984" s="6"/>
      <c r="E984" s="6"/>
      <c r="F984" s="6"/>
      <c r="G984" s="6"/>
      <c r="H984" s="6"/>
      <c r="I984" s="6"/>
      <c r="J984" s="6"/>
      <c r="K984" s="6"/>
    </row>
    <row r="985" spans="1:11" x14ac:dyDescent="0.25">
      <c r="A985" s="6"/>
      <c r="B985" s="6"/>
      <c r="C985" s="6"/>
      <c r="D985" s="6"/>
      <c r="E985" s="6"/>
      <c r="F985" s="6"/>
      <c r="G985" s="6"/>
      <c r="H985" s="6"/>
      <c r="I985" s="6"/>
      <c r="J985" s="6"/>
      <c r="K985" s="6"/>
    </row>
    <row r="986" spans="1:11" x14ac:dyDescent="0.25">
      <c r="A986" s="6"/>
      <c r="B986" s="6"/>
      <c r="C986" s="6"/>
      <c r="D986" s="6"/>
      <c r="E986" s="6"/>
      <c r="F986" s="6"/>
      <c r="G986" s="6"/>
      <c r="H986" s="6"/>
      <c r="I986" s="6"/>
      <c r="J986" s="6"/>
      <c r="K986" s="6"/>
    </row>
    <row r="987" spans="1:11" x14ac:dyDescent="0.25">
      <c r="A987" s="6"/>
      <c r="B987" s="6"/>
      <c r="C987" s="6"/>
      <c r="D987" s="6"/>
      <c r="E987" s="6"/>
      <c r="F987" s="6"/>
      <c r="G987" s="6"/>
      <c r="H987" s="6"/>
      <c r="I987" s="6"/>
      <c r="J987" s="6"/>
      <c r="K987" s="6"/>
    </row>
    <row r="988" spans="1:11" x14ac:dyDescent="0.25">
      <c r="A988" s="6"/>
      <c r="B988" s="6"/>
      <c r="C988" s="6"/>
      <c r="D988" s="6"/>
      <c r="E988" s="6"/>
      <c r="F988" s="6"/>
      <c r="G988" s="6"/>
      <c r="H988" s="6"/>
      <c r="I988" s="6"/>
      <c r="J988" s="6"/>
      <c r="K988" s="6"/>
    </row>
    <row r="989" spans="1:11" x14ac:dyDescent="0.25">
      <c r="A989" s="6"/>
      <c r="B989" s="6"/>
      <c r="C989" s="6"/>
      <c r="D989" s="6"/>
      <c r="E989" s="6"/>
      <c r="F989" s="6"/>
      <c r="G989" s="6"/>
      <c r="H989" s="6"/>
      <c r="I989" s="6"/>
      <c r="J989" s="6"/>
      <c r="K989" s="6"/>
    </row>
    <row r="990" spans="1:11" x14ac:dyDescent="0.25">
      <c r="A990" s="6"/>
      <c r="B990" s="6"/>
      <c r="C990" s="6"/>
      <c r="D990" s="6"/>
      <c r="E990" s="6"/>
      <c r="F990" s="6"/>
      <c r="G990" s="6"/>
      <c r="H990" s="6"/>
      <c r="I990" s="6"/>
      <c r="J990" s="6"/>
      <c r="K990" s="6"/>
    </row>
    <row r="991" spans="1:11" x14ac:dyDescent="0.25">
      <c r="A991" s="6"/>
      <c r="B991" s="6"/>
      <c r="C991" s="6"/>
      <c r="D991" s="6"/>
      <c r="E991" s="6"/>
      <c r="F991" s="6"/>
      <c r="G991" s="6"/>
      <c r="H991" s="6"/>
      <c r="I991" s="6"/>
      <c r="J991" s="6"/>
      <c r="K991" s="6"/>
    </row>
    <row r="992" spans="1:11" x14ac:dyDescent="0.25">
      <c r="A992" s="6"/>
      <c r="B992" s="6"/>
      <c r="C992" s="6"/>
      <c r="D992" s="6"/>
      <c r="E992" s="6"/>
      <c r="F992" s="6"/>
      <c r="G992" s="6"/>
      <c r="H992" s="6"/>
      <c r="I992" s="6"/>
      <c r="J992" s="6"/>
      <c r="K992" s="6"/>
    </row>
    <row r="993" spans="1:11" x14ac:dyDescent="0.25">
      <c r="A993" s="6"/>
      <c r="B993" s="6"/>
      <c r="C993" s="6"/>
      <c r="D993" s="6"/>
      <c r="E993" s="6"/>
      <c r="F993" s="6"/>
      <c r="G993" s="6"/>
      <c r="H993" s="6"/>
      <c r="I993" s="6"/>
      <c r="J993" s="6"/>
      <c r="K993" s="6"/>
    </row>
    <row r="994" spans="1:11" x14ac:dyDescent="0.25">
      <c r="A994" s="6"/>
      <c r="B994" s="6"/>
      <c r="C994" s="6"/>
      <c r="D994" s="6"/>
      <c r="E994" s="6"/>
      <c r="F994" s="6"/>
      <c r="G994" s="6"/>
      <c r="H994" s="6"/>
      <c r="I994" s="6"/>
      <c r="J994" s="6"/>
      <c r="K994" s="6"/>
    </row>
    <row r="995" spans="1:11" x14ac:dyDescent="0.25">
      <c r="A995" s="6"/>
      <c r="B995" s="6"/>
      <c r="C995" s="6"/>
      <c r="D995" s="6"/>
      <c r="E995" s="6"/>
      <c r="F995" s="6"/>
      <c r="G995" s="6"/>
      <c r="H995" s="6"/>
      <c r="I995" s="6"/>
      <c r="J995" s="6"/>
      <c r="K995" s="6"/>
    </row>
    <row r="996" spans="1:11" x14ac:dyDescent="0.25">
      <c r="A996" s="6"/>
      <c r="B996" s="6"/>
      <c r="C996" s="6"/>
      <c r="D996" s="6"/>
      <c r="E996" s="6"/>
      <c r="F996" s="6"/>
      <c r="G996" s="6"/>
      <c r="H996" s="6"/>
      <c r="I996" s="6"/>
      <c r="J996" s="6"/>
      <c r="K996" s="6"/>
    </row>
    <row r="997" spans="1:11" x14ac:dyDescent="0.25">
      <c r="A997" s="6"/>
      <c r="B997" s="6"/>
      <c r="C997" s="6"/>
      <c r="D997" s="6"/>
      <c r="E997" s="6"/>
      <c r="F997" s="6"/>
      <c r="G997" s="6"/>
      <c r="H997" s="6"/>
      <c r="I997" s="6"/>
      <c r="J997" s="6"/>
      <c r="K997" s="6"/>
    </row>
    <row r="998" spans="1:11" x14ac:dyDescent="0.25">
      <c r="A998" s="6"/>
      <c r="B998" s="6"/>
      <c r="C998" s="6"/>
      <c r="D998" s="6"/>
      <c r="E998" s="6"/>
      <c r="F998" s="6"/>
      <c r="G998" s="6"/>
      <c r="H998" s="6"/>
      <c r="I998" s="6"/>
      <c r="J998" s="6"/>
      <c r="K998" s="6"/>
    </row>
    <row r="999" spans="1:11" x14ac:dyDescent="0.25">
      <c r="A999" s="6"/>
      <c r="B999" s="6"/>
      <c r="C999" s="6"/>
      <c r="D999" s="6"/>
      <c r="E999" s="6"/>
      <c r="F999" s="6"/>
      <c r="G999" s="6"/>
      <c r="H999" s="6"/>
      <c r="I999" s="6"/>
      <c r="J999" s="6"/>
      <c r="K999" s="6"/>
    </row>
    <row r="1000" spans="1:11" x14ac:dyDescent="0.25">
      <c r="A1000" s="6"/>
      <c r="B1000" s="6"/>
      <c r="C1000" s="6"/>
      <c r="D1000" s="6"/>
      <c r="E1000" s="6"/>
      <c r="F1000" s="6"/>
      <c r="G1000" s="6"/>
      <c r="H1000" s="6"/>
      <c r="I1000" s="6"/>
      <c r="J1000" s="6"/>
      <c r="K1000" s="6"/>
    </row>
  </sheetData>
  <autoFilter ref="A1:Z37" xr:uid="{00000000-0009-0000-0000-000001000000}"/>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Ketqua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Le Van Hau 20226038</cp:lastModifiedBy>
  <cp:revision>1</cp:revision>
  <dcterms:modified xsi:type="dcterms:W3CDTF">2026-04-22T11:13:26Z</dcterms:modified>
  <dc:language>en-US</dc:language>
</cp:coreProperties>
</file>